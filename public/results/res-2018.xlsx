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617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43" i="1" l="1"/>
  <c r="K43" i="1" s="1"/>
  <c r="I6" i="1" l="1"/>
  <c r="J6" i="1" l="1"/>
  <c r="I47" i="1" l="1"/>
  <c r="K6" i="1"/>
  <c r="J47" i="1" l="1"/>
  <c r="K47" i="1" s="1"/>
  <c r="I77" i="1"/>
  <c r="J77" i="1" s="1"/>
  <c r="K77" i="1" s="1"/>
  <c r="I88" i="1"/>
  <c r="J88" i="1" s="1"/>
  <c r="K88" i="1" s="1"/>
  <c r="I79" i="1" l="1"/>
  <c r="J79" i="1" s="1"/>
  <c r="K79" i="1" s="1"/>
  <c r="I80" i="1"/>
  <c r="J80" i="1" s="1"/>
  <c r="K80" i="1" s="1"/>
  <c r="I76" i="1"/>
  <c r="J76" i="1" s="1"/>
  <c r="K76" i="1" s="1"/>
  <c r="I84" i="1"/>
  <c r="J84" i="1" s="1"/>
  <c r="K84" i="1" s="1"/>
  <c r="I83" i="1"/>
  <c r="J83" i="1" s="1"/>
  <c r="K83" i="1" s="1"/>
  <c r="I82" i="1"/>
  <c r="J82" i="1" s="1"/>
  <c r="K82" i="1" s="1"/>
  <c r="I85" i="1"/>
  <c r="J85" i="1" s="1"/>
  <c r="K85" i="1" s="1"/>
  <c r="I81" i="1"/>
  <c r="J81" i="1" s="1"/>
  <c r="K81" i="1" s="1"/>
  <c r="I75" i="1"/>
  <c r="J75" i="1" s="1"/>
  <c r="K75" i="1" s="1"/>
  <c r="I86" i="1"/>
  <c r="J86" i="1" s="1"/>
  <c r="K86" i="1" s="1"/>
  <c r="I87" i="1"/>
  <c r="J87" i="1" s="1"/>
  <c r="K87" i="1" s="1"/>
  <c r="I89" i="1"/>
  <c r="J89" i="1" s="1"/>
  <c r="K89" i="1" s="1"/>
  <c r="I78" i="1"/>
  <c r="J78" i="1" s="1"/>
  <c r="K78" i="1" s="1"/>
  <c r="I44" i="1"/>
  <c r="I40" i="1"/>
  <c r="I46" i="1"/>
  <c r="I41" i="1"/>
  <c r="I45" i="1"/>
  <c r="I48" i="1"/>
  <c r="I42" i="1"/>
  <c r="J42" i="1" s="1"/>
  <c r="I7" i="1"/>
  <c r="J7" i="1" s="1"/>
  <c r="K7" i="1" s="1"/>
  <c r="I9" i="1"/>
  <c r="J9" i="1" s="1"/>
  <c r="K9" i="1" s="1"/>
  <c r="I13" i="1"/>
  <c r="J13" i="1" s="1"/>
  <c r="K13" i="1" s="1"/>
  <c r="I10" i="1"/>
  <c r="J10" i="1" s="1"/>
  <c r="K10" i="1" s="1"/>
  <c r="I12" i="1"/>
  <c r="J12" i="1" s="1"/>
  <c r="K12" i="1" s="1"/>
  <c r="I11" i="1"/>
  <c r="J11" i="1" s="1"/>
  <c r="K11" i="1" s="1"/>
  <c r="I8" i="1"/>
  <c r="J8" i="1" s="1"/>
  <c r="K8" i="1" s="1"/>
  <c r="I14" i="1"/>
  <c r="J14" i="1" s="1"/>
  <c r="K14" i="1" s="1"/>
  <c r="I15" i="1"/>
  <c r="J15" i="1" s="1"/>
  <c r="K15" i="1" s="1"/>
  <c r="I5" i="1"/>
  <c r="J5" i="1" s="1"/>
  <c r="K5" i="1" s="1"/>
  <c r="J45" i="1" l="1"/>
  <c r="K45" i="1" s="1"/>
  <c r="J44" i="1"/>
  <c r="K44" i="1" s="1"/>
  <c r="J41" i="1"/>
  <c r="K41" i="1" s="1"/>
  <c r="J46" i="1"/>
  <c r="K46" i="1" s="1"/>
  <c r="J48" i="1"/>
  <c r="K48" i="1" s="1"/>
  <c r="J40" i="1"/>
  <c r="K40" i="1" s="1"/>
  <c r="K42" i="1"/>
</calcChain>
</file>

<file path=xl/sharedStrings.xml><?xml version="1.0" encoding="utf-8"?>
<sst xmlns="http://schemas.openxmlformats.org/spreadsheetml/2006/main" count="79" uniqueCount="54">
  <si>
    <t>ক্র. নং.</t>
  </si>
  <si>
    <t>পরীক্ষার্থীর নাম</t>
  </si>
  <si>
    <t>গড়</t>
  </si>
  <si>
    <t>বিভাগ</t>
  </si>
  <si>
    <t xml:space="preserve">             দারুল উলুম খাদেমুল ইসলাম মাদরাসা, ফার্মপাড়া, চুয়াডাঙ্গা। </t>
  </si>
  <si>
    <t xml:space="preserve">তরিকায়ে তালিম </t>
  </si>
  <si>
    <t xml:space="preserve">হাদিস ও মাসয়ালা </t>
  </si>
  <si>
    <t xml:space="preserve">বাংলা </t>
  </si>
  <si>
    <t xml:space="preserve">ইংরেজি </t>
  </si>
  <si>
    <t xml:space="preserve">গণিত </t>
  </si>
  <si>
    <t xml:space="preserve">মোট </t>
  </si>
  <si>
    <t xml:space="preserve">স্থান </t>
  </si>
  <si>
    <t xml:space="preserve">মোসা. সিদরাতুল মুনতাহা </t>
  </si>
  <si>
    <t xml:space="preserve">মোসা. রাফিয়া তাসনিম </t>
  </si>
  <si>
    <t>মোসা. কানিজ ফাতেমা</t>
  </si>
  <si>
    <t>মোসা. আরিফা</t>
  </si>
  <si>
    <t>মো. ইজাজ আলী</t>
  </si>
  <si>
    <t>মো. আ. কাইয়ুম</t>
  </si>
  <si>
    <t>মো. জিকরুল্লাহ</t>
  </si>
  <si>
    <t xml:space="preserve">মো. হুসাইন </t>
  </si>
  <si>
    <t xml:space="preserve">মো. উসমান </t>
  </si>
  <si>
    <t xml:space="preserve">মো. জুনাইদ </t>
  </si>
  <si>
    <t>মো. যায়েদ বিন সাবিত</t>
  </si>
  <si>
    <t>মো. সাকিব উদ্দীন</t>
  </si>
  <si>
    <t>মো. নিরব আলী</t>
  </si>
  <si>
    <t>মো. খালিদ সাইফুল্লাহ</t>
  </si>
  <si>
    <t>মো. আবু হুরায়রা</t>
  </si>
  <si>
    <t xml:space="preserve">মো. আ. আহাদ </t>
  </si>
  <si>
    <t xml:space="preserve">মো. মিকাইল </t>
  </si>
  <si>
    <t xml:space="preserve">মো. আদিয়ান হাসান </t>
  </si>
  <si>
    <t>মো. আবু সুফিয়ান</t>
  </si>
  <si>
    <t>মোসা. আফিয়া সরকার</t>
  </si>
  <si>
    <t xml:space="preserve">মো. জুবায়ের </t>
  </si>
  <si>
    <t>মো. আল মাজিদ</t>
  </si>
  <si>
    <t>মো. নাহিদ হাসান</t>
  </si>
  <si>
    <t>মো. তাহসান</t>
  </si>
  <si>
    <t>মোসা. উম্মে আইমান সুয়াদা</t>
  </si>
  <si>
    <t>মোসা. আনাস্তাছিয়া আনিশা</t>
  </si>
  <si>
    <t>মো. তাজিম</t>
  </si>
  <si>
    <t>মো. ইরফান আজিজ</t>
  </si>
  <si>
    <t xml:space="preserve">          দারুল উলুম খাদেমুল ইসলাম মাদরাসা, ফার্মপাড়া, চুয়াডাঙ্গা। </t>
  </si>
  <si>
    <t>মো. ইয়ামিন আরাফাত</t>
  </si>
  <si>
    <t xml:space="preserve">মো. আলিফ </t>
  </si>
  <si>
    <t>মো. আল আমিন</t>
  </si>
  <si>
    <t xml:space="preserve">            দারুল উলুম খাদেমুল ইসলাম মাদরাসা, ফার্মপাড়া, চুয়াডাঙ্গা। </t>
  </si>
  <si>
    <t>মো. রিমান</t>
  </si>
  <si>
    <t xml:space="preserve">মো. মাহফুজ </t>
  </si>
  <si>
    <t xml:space="preserve">মো. আসিফ </t>
  </si>
  <si>
    <t xml:space="preserve">                 বার্ষিক পরীক্ষার ফলাফল। ১৪৪৪ / ৪৫হি. মোতাবেক ২০২৩ঈ. </t>
  </si>
  <si>
    <t xml:space="preserve">স্বাক্ষর </t>
  </si>
  <si>
    <t>নাজেমে তালিমাত</t>
  </si>
  <si>
    <r>
      <t xml:space="preserve">শ্রেণীঃ প্লে                                 </t>
    </r>
    <r>
      <rPr>
        <sz val="11"/>
        <rFont val="AdorshoLipi"/>
      </rPr>
      <t>মোট বিষয় ৫টি- পূর্ণমান  ১০০*৫=৫০০</t>
    </r>
  </si>
  <si>
    <t>শ্রেণীঃ নার্সারী                      মোট বিষয় ৫টি- পূর্ণমান  ১০০*৫=৫০০</t>
  </si>
  <si>
    <t>শ্রেণীঃ ১ম                                 মোট বিষয় ৫টি- পূর্ণমান  ১০০*৫=৫০০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</si>
</sst>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29">
    <font>
      <sz val="11"/>
      <color theme="1"/>
      <name val="Calibri"/>
      <family val="2"/>
      <scheme val="minor"/>
    </font>
    <font>
      <sz val="26"/>
      <color theme="1"/>
      <name val="SutonnyOMJ"/>
    </font>
    <font>
      <sz val="16"/>
      <color theme="1"/>
      <name val="SutonnyOMJ"/>
    </font>
    <font>
      <sz val="14"/>
      <color theme="1"/>
      <name val="AdorshoLipi"/>
    </font>
    <font>
      <sz val="14"/>
      <color theme="1"/>
      <name val="SutonnyOMJ"/>
    </font>
    <font>
      <sz val="12"/>
      <color theme="1"/>
      <name val="SutonnyOMJ"/>
    </font>
    <font>
      <sz val="14"/>
      <name val="SutonnyOMJ"/>
    </font>
    <font>
      <sz val="11"/>
      <color theme="1"/>
      <name val="SutonnyOMJ"/>
    </font>
    <font>
      <sz val="18"/>
      <color theme="1"/>
      <name val="SutonnyOMJ"/>
    </font>
    <font>
      <sz val="11"/>
      <color theme="1"/>
      <name val="BenSenHandwriting"/>
    </font>
    <font>
      <sz val="14"/>
      <color theme="1"/>
      <name val="BenSenHandwriting"/>
    </font>
    <font>
      <sz val="16"/>
      <color theme="1"/>
      <name val="BenSenHandwriting"/>
    </font>
    <font>
      <sz val="12"/>
      <color theme="1"/>
      <name val="BenSenHandwriting"/>
    </font>
    <font>
      <sz val="16"/>
      <color theme="1"/>
      <name val="AdorshoLipi"/>
    </font>
    <font>
      <sz val="24"/>
      <color theme="1"/>
      <name val="SutonnyOMJ"/>
    </font>
    <font>
      <b/>
      <sz val="16"/>
      <color theme="1"/>
      <name val="RabeyaSreeMJ"/>
    </font>
    <font>
      <sz val="16"/>
      <name val="SutonnyOMJ"/>
    </font>
    <font>
      <sz val="18"/>
      <color theme="1"/>
      <name val="Bangla"/>
      <family val="4"/>
    </font>
    <font>
      <sz val="24"/>
      <name val="SutonnyOMJ"/>
    </font>
    <font>
      <sz val="26"/>
      <name val="SutonnyOMJ"/>
    </font>
    <font>
      <sz val="14"/>
      <name val="BenSenHandwriting"/>
    </font>
    <font>
      <sz val="14"/>
      <name val="AdorshoLipi"/>
    </font>
    <font>
      <sz val="11"/>
      <name val="AdorshoLipi"/>
    </font>
    <font>
      <sz val="18"/>
      <name val="SutonnyOMJ"/>
    </font>
    <font>
      <sz val="12"/>
      <name val="SutonnyOMJ"/>
    </font>
    <font>
      <sz val="12"/>
      <name val="BenSenHandwriting"/>
    </font>
    <font>
      <sz val="11"/>
      <name val="Calibri"/>
      <family val="2"/>
      <scheme val="minor"/>
    </font>
    <font>
      <b/>
      <sz val="16"/>
      <name val="RabeyaSreeMJ"/>
    </font>
    <font>
      <sz val="11"/>
      <name val="SutonnyOMJ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 textRotation="90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textRotation="90" wrapText="1"/>
    </xf>
    <xf numFmtId="0" fontId="8" fillId="0" borderId="1" xfId="0" applyFont="1" applyBorder="1" applyAlignment="1">
      <alignment horizontal="center" textRotation="90"/>
    </xf>
    <xf numFmtId="0" fontId="9" fillId="0" borderId="0" xfId="0" applyFont="1"/>
    <xf numFmtId="0" fontId="10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1" xfId="0" applyFont="1" applyBorder="1"/>
    <xf numFmtId="164" fontId="11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textRotation="90" wrapText="1"/>
    </xf>
    <xf numFmtId="0" fontId="16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/>
    </xf>
    <xf numFmtId="16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64" fontId="13" fillId="0" borderId="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164" fontId="20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6" fillId="0" borderId="0" xfId="0" applyFont="1"/>
    <xf numFmtId="0" fontId="6" fillId="0" borderId="0" xfId="0" applyFont="1" applyAlignment="1">
      <alignment horizontal="center"/>
    </xf>
    <xf numFmtId="0" fontId="28" fillId="0" borderId="0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0" fillId="0" borderId="0" xfId="0" applyFont="1" applyFill="1" applyBorder="1" applyAlignment="1">
      <alignment vertical="center"/>
    </xf>
    <xf numFmtId="0" fontId="9" fillId="0" borderId="0" xfId="0" applyFont="1" applyBorder="1"/>
    <xf numFmtId="164" fontId="11" fillId="0" borderId="0" xfId="0" applyNumberFormat="1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0" fontId="0" fillId="0" borderId="0" xfId="0" applyBorder="1"/>
    <xf numFmtId="0" fontId="5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385555</xdr:colOff>
      <xdr:row>1</xdr:row>
      <xdr:rowOff>260074</xdr:rowOff>
    </xdr:to>
    <xdr:pic>
      <xdr:nvPicPr>
        <xdr:cNvPr id="3" name="Picture 2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823705" cy="7553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63758</xdr:colOff>
      <xdr:row>70</xdr:row>
      <xdr:rowOff>28576</xdr:rowOff>
    </xdr:from>
    <xdr:to>
      <xdr:col>1</xdr:col>
      <xdr:colOff>416184</xdr:colOff>
      <xdr:row>71</xdr:row>
      <xdr:rowOff>217715</xdr:rowOff>
    </xdr:to>
    <xdr:pic>
      <xdr:nvPicPr>
        <xdr:cNvPr id="7" name="Picture 6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58" y="10534651"/>
          <a:ext cx="790576" cy="73206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104775</xdr:colOff>
      <xdr:row>0</xdr:row>
      <xdr:rowOff>504825</xdr:rowOff>
    </xdr:from>
    <xdr:to>
      <xdr:col>11</xdr:col>
      <xdr:colOff>504825</xdr:colOff>
      <xdr:row>3</xdr:row>
      <xdr:rowOff>590550</xdr:rowOff>
    </xdr:to>
    <xdr:sp macro="" textlink="">
      <xdr:nvSpPr>
        <xdr:cNvPr id="6" name="TextBox 5"/>
        <xdr:cNvSpPr txBox="1"/>
      </xdr:nvSpPr>
      <xdr:spPr>
        <a:xfrm>
          <a:off x="4962525" y="504825"/>
          <a:ext cx="1676400" cy="1181100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মাকবুল =    ৩৫ - ৪৯%</a:t>
          </a:r>
          <a:endParaRPr lang="en-US" sz="1400"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>
    <xdr:from>
      <xdr:col>9</xdr:col>
      <xdr:colOff>438151</xdr:colOff>
      <xdr:row>35</xdr:row>
      <xdr:rowOff>581025</xdr:rowOff>
    </xdr:from>
    <xdr:to>
      <xdr:col>12</xdr:col>
      <xdr:colOff>219075</xdr:colOff>
      <xdr:row>38</xdr:row>
      <xdr:rowOff>457199</xdr:rowOff>
    </xdr:to>
    <xdr:sp macro="" textlink="">
      <xdr:nvSpPr>
        <xdr:cNvPr id="8" name="TextBox 7"/>
        <xdr:cNvSpPr txBox="1"/>
      </xdr:nvSpPr>
      <xdr:spPr>
        <a:xfrm>
          <a:off x="5295901" y="11239500"/>
          <a:ext cx="1571624" cy="1142999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200" u="sng" baseline="0">
              <a:latin typeface="SolaimanLipi" pitchFamily="65" charset="0"/>
              <a:cs typeface="SolaimanLipi" pitchFamily="65" charset="0"/>
            </a:rPr>
            <a:t>বিভাগ বিন্যাস  </a:t>
          </a:r>
        </a:p>
        <a:p>
          <a:r>
            <a:rPr lang="bn-IN" sz="1200">
              <a:latin typeface="SolaimanLipi" pitchFamily="65" charset="0"/>
              <a:cs typeface="SolaimanLipi" pitchFamily="65" charset="0"/>
            </a:rPr>
            <a:t>মুমতাজ =   ৮০-১০০%</a:t>
          </a:r>
        </a:p>
        <a:p>
          <a:r>
            <a:rPr lang="bn-IN" sz="1200">
              <a:latin typeface="SolaimanLipi" pitchFamily="65" charset="0"/>
              <a:cs typeface="SolaimanLipi" pitchFamily="65" charset="0"/>
            </a:rPr>
            <a:t>জা.</a:t>
          </a:r>
          <a:r>
            <a:rPr lang="bn-IN" sz="1200" baseline="0">
              <a:latin typeface="SolaimanLipi" pitchFamily="65" charset="0"/>
              <a:cs typeface="SolaimanLipi" pitchFamily="65" charset="0"/>
            </a:rPr>
            <a:t> জিদ্দান = ৬৫-৭৯%</a:t>
          </a:r>
        </a:p>
        <a:p>
          <a:r>
            <a:rPr lang="bn-IN" sz="1200" baseline="0">
              <a:latin typeface="SolaimanLipi" pitchFamily="65" charset="0"/>
              <a:cs typeface="SolaimanLipi" pitchFamily="65" charset="0"/>
            </a:rPr>
            <a:t>জায়্যিদ =     ৫০- ৬৪%</a:t>
          </a:r>
        </a:p>
        <a:p>
          <a:r>
            <a:rPr lang="bn-IN" sz="1200" baseline="0">
              <a:latin typeface="SolaimanLipi" pitchFamily="65" charset="0"/>
              <a:cs typeface="SolaimanLipi" pitchFamily="65" charset="0"/>
            </a:rPr>
            <a:t>মাকবুল =    ৩৫ - ৪৯%</a:t>
          </a:r>
          <a:endParaRPr lang="en-US" sz="1200">
            <a:latin typeface="SolaimanLipi" pitchFamily="65" charset="0"/>
            <a:cs typeface="SolaimanLipi" pitchFamily="65" charset="0"/>
          </a:endParaRPr>
        </a:p>
      </xdr:txBody>
    </xdr:sp>
    <xdr:clientData/>
  </xdr:twoCellAnchor>
  <xdr:twoCellAnchor>
    <xdr:from>
      <xdr:col>9</xdr:col>
      <xdr:colOff>138794</xdr:colOff>
      <xdr:row>70</xdr:row>
      <xdr:rowOff>462643</xdr:rowOff>
    </xdr:from>
    <xdr:to>
      <xdr:col>11</xdr:col>
      <xdr:colOff>434068</xdr:colOff>
      <xdr:row>73</xdr:row>
      <xdr:rowOff>581025</xdr:rowOff>
    </xdr:to>
    <xdr:sp macro="" textlink="">
      <xdr:nvSpPr>
        <xdr:cNvPr id="9" name="TextBox 8"/>
        <xdr:cNvSpPr txBox="1"/>
      </xdr:nvSpPr>
      <xdr:spPr>
        <a:xfrm>
          <a:off x="4996544" y="22398718"/>
          <a:ext cx="1571624" cy="1166132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মাকবুল =    ৩৫ - ৪৯%</a:t>
          </a:r>
          <a:endParaRPr lang="en-US" sz="1400">
            <a:solidFill>
              <a:sysClr val="windowText" lastClr="000000"/>
            </a:solidFill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35</xdr:row>
      <xdr:rowOff>66675</xdr:rowOff>
    </xdr:from>
    <xdr:to>
      <xdr:col>1</xdr:col>
      <xdr:colOff>385555</xdr:colOff>
      <xdr:row>36</xdr:row>
      <xdr:rowOff>359653</xdr:rowOff>
    </xdr:to>
    <xdr:pic>
      <xdr:nvPicPr>
        <xdr:cNvPr id="10" name="Picture 9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1175"/>
          <a:ext cx="823705" cy="7501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485775</xdr:colOff>
      <xdr:row>90</xdr:row>
      <xdr:rowOff>190500</xdr:rowOff>
    </xdr:from>
    <xdr:to>
      <xdr:col>10</xdr:col>
      <xdr:colOff>28628</xdr:colOff>
      <xdr:row>91</xdr:row>
      <xdr:rowOff>114300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829175" y="12277725"/>
          <a:ext cx="762053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"/>
  <sheetViews>
    <sheetView tabSelected="1" view="pageLayout" zoomScaleNormal="100" workbookViewId="0">
      <selection activeCell="K69" sqref="K69"/>
    </sheetView>
  </sheetViews>
  <sheetFormatPr defaultColWidth="9.140625" defaultRowHeight="15"/>
  <cols>
    <col min="1" max="1" width="6.140625" customWidth="1"/>
    <col min="3" max="3" width="12.42578125" customWidth="1"/>
    <col min="4" max="5" width="6.7109375" customWidth="1"/>
    <col min="6" max="6" width="5.7109375" customWidth="1"/>
    <col min="7" max="7" width="6.7109375" customWidth="1"/>
    <col min="8" max="8" width="6.85546875" customWidth="1"/>
    <col min="9" max="9" width="7.85546875" customWidth="1"/>
    <col min="10" max="10" width="9.28515625" customWidth="1"/>
    <col min="11" max="11" width="8.7109375" customWidth="1"/>
    <col min="12" max="12" width="7.28515625" customWidth="1"/>
    <col min="13" max="13" width="4.140625" customWidth="1"/>
  </cols>
  <sheetData>
    <row r="1" spans="1:15" ht="46.5" customHeight="1">
      <c r="A1" s="16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75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1.75">
      <c r="A3" s="64" t="s">
        <v>52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5" ht="90" customHeight="1">
      <c r="A4" s="3" t="s">
        <v>0</v>
      </c>
      <c r="B4" s="60" t="s">
        <v>1</v>
      </c>
      <c r="C4" s="61"/>
      <c r="D4" s="4" t="s">
        <v>5</v>
      </c>
      <c r="E4" s="4" t="s">
        <v>6</v>
      </c>
      <c r="F4" s="8" t="s">
        <v>7</v>
      </c>
      <c r="G4" s="9" t="s">
        <v>8</v>
      </c>
      <c r="H4" s="9" t="s">
        <v>9</v>
      </c>
      <c r="I4" s="21" t="s">
        <v>10</v>
      </c>
      <c r="J4" s="22" t="s">
        <v>2</v>
      </c>
      <c r="K4" s="23" t="s">
        <v>3</v>
      </c>
      <c r="L4" s="24" t="s">
        <v>11</v>
      </c>
      <c r="M4" s="18"/>
      <c r="N4" s="18"/>
      <c r="O4" s="7"/>
    </row>
    <row r="5" spans="1:15" ht="21.6" customHeight="1">
      <c r="A5" s="12">
        <v>1</v>
      </c>
      <c r="B5" s="20" t="s">
        <v>14</v>
      </c>
      <c r="C5" s="11"/>
      <c r="D5" s="12">
        <v>100</v>
      </c>
      <c r="E5" s="12">
        <v>98</v>
      </c>
      <c r="F5" s="12">
        <v>100</v>
      </c>
      <c r="G5" s="12">
        <v>100</v>
      </c>
      <c r="H5" s="12">
        <v>100</v>
      </c>
      <c r="I5" s="12">
        <f t="shared" ref="I5:I12" si="0">H5+G5+F5+E5+D5</f>
        <v>498</v>
      </c>
      <c r="J5" s="17">
        <f t="shared" ref="J5:J12" si="1">I5/5</f>
        <v>99.6</v>
      </c>
      <c r="K5" s="36" t="str">
        <f>LOOKUP(J5,{0,35,50,66,80},{"রাসিব","মাকবুল","জায়্যিদ","জা. জিদ্দান","মুমতাজ"})</f>
        <v>মুমতাজ</v>
      </c>
      <c r="L5" s="62">
        <v>1</v>
      </c>
      <c r="M5" s="13"/>
    </row>
    <row r="6" spans="1:15" ht="21.6" customHeight="1">
      <c r="A6" s="12">
        <v>2</v>
      </c>
      <c r="B6" s="20" t="s">
        <v>46</v>
      </c>
      <c r="C6" s="11"/>
      <c r="D6" s="12">
        <v>100</v>
      </c>
      <c r="E6" s="12">
        <v>97</v>
      </c>
      <c r="F6" s="12">
        <v>100</v>
      </c>
      <c r="G6" s="12">
        <v>100</v>
      </c>
      <c r="H6" s="12">
        <v>99</v>
      </c>
      <c r="I6" s="12">
        <f t="shared" si="0"/>
        <v>496</v>
      </c>
      <c r="J6" s="17">
        <f t="shared" si="1"/>
        <v>99.2</v>
      </c>
      <c r="K6" s="33" t="str">
        <f>LOOKUP(J6,{0,35,50,66,80},{"রাসিব","মাকবুল","জায়্যিদ","জা. জিদ্দান","মুমতাজ"})</f>
        <v>মুমতাজ</v>
      </c>
      <c r="L6" s="62">
        <v>2</v>
      </c>
      <c r="M6" s="13"/>
      <c r="N6" s="13"/>
      <c r="O6" s="13"/>
    </row>
    <row r="7" spans="1:15" ht="21.6" customHeight="1">
      <c r="A7" s="12">
        <v>3</v>
      </c>
      <c r="B7" s="29" t="s">
        <v>12</v>
      </c>
      <c r="C7" s="11"/>
      <c r="D7" s="12">
        <v>100</v>
      </c>
      <c r="E7" s="12">
        <v>97</v>
      </c>
      <c r="F7" s="12">
        <v>98</v>
      </c>
      <c r="G7" s="12">
        <v>100</v>
      </c>
      <c r="H7" s="12">
        <v>99</v>
      </c>
      <c r="I7" s="12">
        <f t="shared" si="0"/>
        <v>494</v>
      </c>
      <c r="J7" s="17">
        <f t="shared" si="1"/>
        <v>98.8</v>
      </c>
      <c r="K7" s="36" t="str">
        <f>LOOKUP(J7,{0,35,50,66,80},{"রাসিব","মাকবুল","জায়্যিদ","জা. জিদ্দান","মুমতাজ"})</f>
        <v>মুমতাজ</v>
      </c>
      <c r="L7" s="62">
        <v>3</v>
      </c>
      <c r="M7" s="13"/>
    </row>
    <row r="8" spans="1:15" ht="21.6" customHeight="1">
      <c r="A8" s="12">
        <v>4</v>
      </c>
      <c r="B8" s="20" t="s">
        <v>41</v>
      </c>
      <c r="C8" s="11"/>
      <c r="D8" s="12">
        <v>98</v>
      </c>
      <c r="E8" s="12">
        <v>92</v>
      </c>
      <c r="F8" s="12">
        <v>100</v>
      </c>
      <c r="G8" s="12">
        <v>100</v>
      </c>
      <c r="H8" s="12">
        <v>99</v>
      </c>
      <c r="I8" s="12">
        <f t="shared" si="0"/>
        <v>489</v>
      </c>
      <c r="J8" s="17">
        <f t="shared" si="1"/>
        <v>97.8</v>
      </c>
      <c r="K8" s="36" t="str">
        <f>LOOKUP(J8,{0,35,50,66,80},{"রাসিব","মাকবুল","জায়্যিদ","জা. জিদ্দান","মুমতাজ"})</f>
        <v>মুমতাজ</v>
      </c>
      <c r="L8" s="62">
        <v>4</v>
      </c>
      <c r="M8" s="13"/>
      <c r="N8" s="13"/>
      <c r="O8" s="13"/>
    </row>
    <row r="9" spans="1:15" ht="21.6" customHeight="1">
      <c r="A9" s="12">
        <v>5</v>
      </c>
      <c r="B9" s="20" t="s">
        <v>17</v>
      </c>
      <c r="C9" s="11"/>
      <c r="D9" s="12">
        <v>99</v>
      </c>
      <c r="E9" s="12">
        <v>89</v>
      </c>
      <c r="F9" s="12">
        <v>100</v>
      </c>
      <c r="G9" s="12">
        <v>100</v>
      </c>
      <c r="H9" s="12">
        <v>99</v>
      </c>
      <c r="I9" s="12">
        <f t="shared" si="0"/>
        <v>487</v>
      </c>
      <c r="J9" s="17">
        <f t="shared" si="1"/>
        <v>97.4</v>
      </c>
      <c r="K9" s="36" t="str">
        <f>LOOKUP(J9,{0,35,50,66,80},{"রাসিব","মাকবুল","জায়্যিদ","জা. জিদ্দান","মুমতাজ"})</f>
        <v>মুমতাজ</v>
      </c>
      <c r="L9" s="62">
        <v>5</v>
      </c>
      <c r="M9" s="13"/>
      <c r="N9" s="13"/>
      <c r="O9" s="13"/>
    </row>
    <row r="10" spans="1:15" ht="21.6" customHeight="1">
      <c r="A10" s="12">
        <v>6</v>
      </c>
      <c r="B10" s="20" t="s">
        <v>18</v>
      </c>
      <c r="C10" s="11"/>
      <c r="D10" s="12">
        <v>99</v>
      </c>
      <c r="E10" s="12">
        <v>88</v>
      </c>
      <c r="F10" s="12">
        <v>99</v>
      </c>
      <c r="G10" s="12">
        <v>100</v>
      </c>
      <c r="H10" s="12">
        <v>99</v>
      </c>
      <c r="I10" s="12">
        <f t="shared" si="0"/>
        <v>485</v>
      </c>
      <c r="J10" s="17">
        <f t="shared" si="1"/>
        <v>97</v>
      </c>
      <c r="K10" s="36" t="str">
        <f>LOOKUP(J10,{0,35,50,66,80},{"রাসিব","মাকবুল","জায়্যিদ","জা. জিদ্দান","মুমতাজ"})</f>
        <v>মুমতাজ</v>
      </c>
      <c r="L10" s="62">
        <v>6</v>
      </c>
      <c r="M10" s="13"/>
    </row>
    <row r="11" spans="1:15" ht="21.6" customHeight="1">
      <c r="A11" s="12">
        <v>7</v>
      </c>
      <c r="B11" s="20" t="s">
        <v>16</v>
      </c>
      <c r="C11" s="11"/>
      <c r="D11" s="12">
        <v>100</v>
      </c>
      <c r="E11" s="12">
        <v>72</v>
      </c>
      <c r="F11" s="12">
        <v>98</v>
      </c>
      <c r="G11" s="12">
        <v>100</v>
      </c>
      <c r="H11" s="12">
        <v>100</v>
      </c>
      <c r="I11" s="12">
        <f t="shared" si="0"/>
        <v>470</v>
      </c>
      <c r="J11" s="17">
        <f t="shared" si="1"/>
        <v>94</v>
      </c>
      <c r="K11" s="36" t="str">
        <f>LOOKUP(J11,{0,35,50,66,80},{"রাসিব","মাকবুল","জায়্যিদ","জা. জিদ্দান","মুমতাজ"})</f>
        <v>মুমতাজ</v>
      </c>
      <c r="L11" s="62">
        <v>7</v>
      </c>
      <c r="M11" s="13"/>
      <c r="N11" s="13"/>
      <c r="O11" s="13"/>
    </row>
    <row r="12" spans="1:15" ht="21.6" customHeight="1">
      <c r="A12" s="12">
        <v>8</v>
      </c>
      <c r="B12" s="20" t="s">
        <v>20</v>
      </c>
      <c r="C12" s="11"/>
      <c r="D12" s="12">
        <v>99</v>
      </c>
      <c r="E12" s="12">
        <v>70</v>
      </c>
      <c r="F12" s="12">
        <v>100</v>
      </c>
      <c r="G12" s="12">
        <v>100</v>
      </c>
      <c r="H12" s="12">
        <v>99</v>
      </c>
      <c r="I12" s="12">
        <f t="shared" si="0"/>
        <v>468</v>
      </c>
      <c r="J12" s="17">
        <f t="shared" si="1"/>
        <v>93.6</v>
      </c>
      <c r="K12" s="36" t="str">
        <f>LOOKUP(J12,{0,35,50,66,80},{"রাসিব","মাকবুল","জায়্যিদ","জা. জিদ্দান","মুমতাজ"})</f>
        <v>মুমতাজ</v>
      </c>
      <c r="L12" s="62">
        <v>8</v>
      </c>
      <c r="M12" s="13"/>
      <c r="N12" s="13"/>
      <c r="O12" s="13"/>
    </row>
    <row r="13" spans="1:15" ht="21.6" customHeight="1">
      <c r="A13" s="12">
        <v>9</v>
      </c>
      <c r="B13" s="20" t="s">
        <v>19</v>
      </c>
      <c r="C13" s="11"/>
      <c r="D13" s="12">
        <v>99</v>
      </c>
      <c r="E13" s="12">
        <v>68</v>
      </c>
      <c r="F13" s="12">
        <v>100</v>
      </c>
      <c r="G13" s="12">
        <v>100</v>
      </c>
      <c r="H13" s="12">
        <v>100</v>
      </c>
      <c r="I13" s="12">
        <f t="shared" ref="I13:I15" si="2">H13+G13+F13+E13+D13</f>
        <v>467</v>
      </c>
      <c r="J13" s="17">
        <f t="shared" ref="J13:J15" si="3">I13/5</f>
        <v>93.4</v>
      </c>
      <c r="K13" s="36" t="str">
        <f>LOOKUP(J13,{0,35,50,66,80},{"রাসিব","মাকবুল","জায়্যিদ","জা. জিদ্দান","মুমতাজ"})</f>
        <v>মুমতাজ</v>
      </c>
      <c r="L13" s="62">
        <v>9</v>
      </c>
      <c r="M13" s="13"/>
      <c r="N13" s="13"/>
      <c r="O13" s="13"/>
    </row>
    <row r="14" spans="1:15" ht="21.6" customHeight="1">
      <c r="A14" s="12">
        <v>10</v>
      </c>
      <c r="B14" s="20" t="s">
        <v>15</v>
      </c>
      <c r="C14" s="11"/>
      <c r="D14" s="12">
        <v>99</v>
      </c>
      <c r="E14" s="12">
        <v>70</v>
      </c>
      <c r="F14" s="12">
        <v>100</v>
      </c>
      <c r="G14" s="12">
        <v>100</v>
      </c>
      <c r="H14" s="12">
        <v>97</v>
      </c>
      <c r="I14" s="12">
        <f t="shared" si="2"/>
        <v>466</v>
      </c>
      <c r="J14" s="17">
        <f t="shared" si="3"/>
        <v>93.2</v>
      </c>
      <c r="K14" s="36" t="str">
        <f>LOOKUP(J14,{0,35,50,66,80},{"রাসিব","মাকবুল","জায়্যিদ","জা. জিদ্দান","মুমতাজ"})</f>
        <v>মুমতাজ</v>
      </c>
      <c r="L14" s="62">
        <v>10</v>
      </c>
      <c r="M14" s="13"/>
      <c r="N14" s="13"/>
      <c r="O14" s="13"/>
    </row>
    <row r="15" spans="1:15" ht="21.6" customHeight="1">
      <c r="A15" s="12">
        <v>11</v>
      </c>
      <c r="B15" s="20" t="s">
        <v>13</v>
      </c>
      <c r="C15" s="11"/>
      <c r="D15" s="12">
        <v>77</v>
      </c>
      <c r="E15" s="12">
        <v>46</v>
      </c>
      <c r="F15" s="12">
        <v>45</v>
      </c>
      <c r="G15" s="12">
        <v>98</v>
      </c>
      <c r="H15" s="12">
        <v>62</v>
      </c>
      <c r="I15" s="12">
        <f t="shared" si="2"/>
        <v>328</v>
      </c>
      <c r="J15" s="17">
        <f t="shared" si="3"/>
        <v>65.599999999999994</v>
      </c>
      <c r="K15" s="36" t="str">
        <f>LOOKUP(J15,{0,35,50,66,80},{"রাসিব","মাকবুল","জায়্যিদ","জা. জিদ্দান","মুমতাজ"})</f>
        <v>জায়্যিদ</v>
      </c>
      <c r="L15" s="62">
        <v>11</v>
      </c>
      <c r="M15" s="13"/>
      <c r="N15" s="13"/>
      <c r="O15" s="13"/>
    </row>
    <row r="16" spans="1:15" ht="21.6" customHeight="1">
      <c r="A16" s="25"/>
      <c r="B16" s="26"/>
      <c r="C16" s="34"/>
      <c r="D16" s="25"/>
      <c r="E16" s="25"/>
      <c r="F16" s="25"/>
      <c r="G16" s="25"/>
      <c r="H16" s="25"/>
      <c r="I16" s="25"/>
      <c r="J16" s="27"/>
      <c r="K16" s="35"/>
      <c r="L16" s="28"/>
      <c r="M16" s="13"/>
      <c r="N16" s="13"/>
      <c r="O16" s="13"/>
    </row>
    <row r="17" spans="1:15" ht="21.6" customHeight="1">
      <c r="A17" s="25"/>
      <c r="B17" s="26"/>
      <c r="C17" s="34"/>
      <c r="D17" s="25"/>
      <c r="E17" s="25"/>
      <c r="F17" s="25"/>
      <c r="G17" s="25"/>
      <c r="H17" s="25"/>
      <c r="I17" s="25"/>
      <c r="J17" s="27"/>
      <c r="K17" s="35"/>
      <c r="L17" s="28"/>
      <c r="M17" s="13"/>
      <c r="N17" s="13"/>
      <c r="O17" s="13"/>
    </row>
    <row r="18" spans="1:15" ht="21.6" customHeight="1">
      <c r="A18" s="25"/>
      <c r="B18" s="26"/>
      <c r="C18" s="34"/>
      <c r="D18" s="25"/>
      <c r="E18" s="25"/>
      <c r="F18" s="25"/>
      <c r="G18" s="25"/>
      <c r="H18" s="25"/>
      <c r="I18" s="25"/>
      <c r="J18" s="27"/>
      <c r="K18" s="35"/>
      <c r="L18" s="28"/>
      <c r="M18" s="13"/>
      <c r="N18" s="13"/>
      <c r="O18" s="13"/>
    </row>
    <row r="19" spans="1:15" ht="21.6" customHeight="1">
      <c r="A19" s="25"/>
      <c r="B19" s="26"/>
      <c r="C19" s="34"/>
      <c r="D19" s="25"/>
      <c r="E19" s="25"/>
      <c r="F19" s="25"/>
      <c r="G19" s="25"/>
      <c r="H19" s="25"/>
      <c r="I19" s="25"/>
      <c r="J19" s="27"/>
      <c r="K19" s="35"/>
      <c r="L19" s="28"/>
      <c r="M19" s="13"/>
      <c r="N19" s="13"/>
      <c r="O19" s="13"/>
    </row>
    <row r="20" spans="1:15" ht="21.6" customHeight="1">
      <c r="A20" s="25"/>
      <c r="B20" s="26"/>
      <c r="C20" s="34"/>
      <c r="D20" s="25"/>
      <c r="E20" s="25"/>
      <c r="F20" s="25"/>
      <c r="G20" s="25"/>
      <c r="H20" s="25"/>
      <c r="I20" s="25"/>
      <c r="J20" s="27"/>
      <c r="K20" s="35"/>
      <c r="L20" s="28"/>
      <c r="M20" s="13"/>
      <c r="N20" s="13"/>
      <c r="O20" s="13"/>
    </row>
    <row r="21" spans="1:15" ht="21.6" customHeight="1">
      <c r="A21" s="25"/>
      <c r="B21" s="26"/>
      <c r="C21" s="34"/>
      <c r="D21" s="25"/>
      <c r="E21" s="25"/>
      <c r="F21" s="25"/>
      <c r="G21" s="25"/>
      <c r="H21" s="25"/>
      <c r="I21" s="25"/>
      <c r="J21" s="27"/>
      <c r="K21" s="35"/>
      <c r="L21" s="28"/>
      <c r="M21" s="13"/>
      <c r="N21" s="13"/>
      <c r="O21" s="13"/>
    </row>
    <row r="22" spans="1:15" ht="21.6" customHeight="1">
      <c r="A22" s="25"/>
      <c r="B22" s="26"/>
      <c r="C22" s="34"/>
      <c r="D22" s="25"/>
      <c r="E22" s="25"/>
      <c r="F22" s="25"/>
      <c r="G22" s="25"/>
      <c r="H22" s="25"/>
      <c r="I22" s="25"/>
      <c r="J22" s="27"/>
      <c r="K22" s="35"/>
      <c r="L22" s="28"/>
      <c r="M22" s="13"/>
      <c r="N22" s="13"/>
      <c r="O22" s="13"/>
    </row>
    <row r="23" spans="1:15" ht="21.6" customHeight="1">
      <c r="A23" s="25"/>
      <c r="B23" s="26"/>
      <c r="C23" s="34"/>
      <c r="D23" s="25"/>
      <c r="E23" s="25"/>
      <c r="F23" s="25"/>
      <c r="G23" s="25"/>
      <c r="H23" s="25"/>
      <c r="I23" s="25"/>
      <c r="J23" s="27"/>
      <c r="K23" s="35"/>
      <c r="L23" s="28"/>
      <c r="M23" s="13"/>
      <c r="N23" s="13"/>
      <c r="O23" s="13"/>
    </row>
    <row r="24" spans="1:15" ht="21.6" customHeight="1">
      <c r="A24" s="25"/>
      <c r="B24" s="26"/>
      <c r="C24" s="34"/>
      <c r="D24" s="25"/>
      <c r="E24" s="25"/>
      <c r="F24" s="25"/>
      <c r="G24" s="25"/>
      <c r="H24" s="25"/>
      <c r="I24" s="25"/>
      <c r="J24" s="27"/>
      <c r="K24" s="35"/>
      <c r="L24" s="28"/>
      <c r="M24" s="13"/>
      <c r="N24" s="13"/>
      <c r="O24" s="13"/>
    </row>
    <row r="25" spans="1:15" ht="21.6" customHeight="1">
      <c r="A25" s="25"/>
      <c r="B25" s="26"/>
      <c r="C25" s="34"/>
      <c r="D25" s="25"/>
      <c r="E25" s="25"/>
      <c r="F25" s="25"/>
      <c r="G25" s="25"/>
      <c r="H25" s="25"/>
      <c r="I25" s="25"/>
      <c r="J25" s="27"/>
      <c r="K25" s="35"/>
      <c r="L25" s="28"/>
      <c r="M25" s="13"/>
      <c r="N25" s="13"/>
      <c r="O25" s="13"/>
    </row>
    <row r="26" spans="1:15" ht="21.6" customHeight="1">
      <c r="A26" s="25"/>
      <c r="B26" s="26"/>
      <c r="C26" s="34"/>
      <c r="D26" s="25"/>
      <c r="E26" s="25"/>
      <c r="F26" s="25"/>
      <c r="G26" s="25"/>
      <c r="H26" s="25"/>
      <c r="I26" s="25"/>
      <c r="J26" s="27"/>
      <c r="K26" s="35"/>
      <c r="L26" s="28"/>
      <c r="M26" s="13"/>
      <c r="N26" s="13"/>
      <c r="O26" s="13"/>
    </row>
    <row r="27" spans="1:15" ht="21.6" customHeight="1">
      <c r="A27" s="25"/>
      <c r="B27" s="26"/>
      <c r="C27" s="34"/>
      <c r="D27" s="25"/>
      <c r="E27" s="25"/>
      <c r="F27" s="25"/>
      <c r="G27" s="25"/>
      <c r="H27" s="25"/>
      <c r="I27" s="25"/>
      <c r="J27" s="27"/>
      <c r="K27" s="35"/>
      <c r="L27" s="28"/>
      <c r="M27" s="13"/>
      <c r="N27" s="13"/>
      <c r="O27" s="13"/>
    </row>
    <row r="28" spans="1:15" ht="21.6" customHeight="1">
      <c r="A28" s="25"/>
      <c r="B28" s="26"/>
      <c r="C28" s="34"/>
      <c r="D28" s="25"/>
      <c r="E28" s="25"/>
      <c r="F28" s="25"/>
      <c r="G28" s="25"/>
      <c r="H28" s="25"/>
      <c r="I28" s="25"/>
      <c r="J28" s="27"/>
      <c r="K28" s="35"/>
      <c r="L28" s="28"/>
      <c r="M28" s="13"/>
      <c r="N28" s="13"/>
      <c r="O28" s="13"/>
    </row>
    <row r="29" spans="1:15" ht="21.6" customHeight="1">
      <c r="A29" s="25"/>
      <c r="B29" s="26"/>
      <c r="C29" s="34"/>
      <c r="D29" s="25"/>
      <c r="E29" s="25"/>
      <c r="F29" s="25"/>
      <c r="G29" s="25"/>
      <c r="H29" s="25"/>
      <c r="I29" s="25"/>
      <c r="J29" s="27"/>
      <c r="K29" s="35"/>
      <c r="L29" s="28"/>
      <c r="M29" s="13"/>
      <c r="N29" s="13"/>
      <c r="O29" s="13"/>
    </row>
    <row r="30" spans="1:15" ht="21.6" customHeight="1">
      <c r="A30" s="25"/>
      <c r="B30" s="26"/>
      <c r="C30" s="34"/>
      <c r="D30" s="25"/>
      <c r="E30" s="25"/>
      <c r="F30" s="25"/>
      <c r="G30" s="25"/>
      <c r="H30" s="25"/>
      <c r="I30" s="25"/>
      <c r="J30" s="27"/>
      <c r="K30" s="35"/>
      <c r="L30" s="28"/>
      <c r="M30" s="13"/>
      <c r="N30" s="13"/>
      <c r="O30" s="13"/>
    </row>
    <row r="31" spans="1:15" ht="21.6" customHeight="1">
      <c r="A31" s="25"/>
      <c r="B31" s="26"/>
      <c r="C31" s="34"/>
      <c r="D31" s="25"/>
      <c r="E31" s="25"/>
      <c r="F31" s="25"/>
      <c r="G31" s="25"/>
      <c r="H31" s="25"/>
      <c r="I31" s="25"/>
      <c r="J31" s="27"/>
      <c r="K31" s="35"/>
      <c r="L31" s="28"/>
      <c r="M31" s="13"/>
      <c r="N31" s="13"/>
      <c r="O31" s="13"/>
    </row>
    <row r="32" spans="1:15" ht="21.6" customHeight="1">
      <c r="A32" s="25"/>
      <c r="B32" s="26"/>
      <c r="C32" s="34"/>
      <c r="D32" s="25"/>
      <c r="E32" s="25"/>
      <c r="F32" s="25"/>
      <c r="G32" s="25"/>
      <c r="H32" s="25"/>
      <c r="I32" s="25"/>
      <c r="J32" s="27"/>
      <c r="K32" s="35"/>
      <c r="L32" s="28"/>
      <c r="M32" s="13"/>
      <c r="N32" s="13"/>
      <c r="O32" s="13"/>
    </row>
    <row r="33" spans="1:23" ht="21.6" customHeight="1">
      <c r="A33" s="25"/>
      <c r="B33" s="26"/>
      <c r="C33" s="34"/>
      <c r="D33" s="25"/>
      <c r="E33" s="25"/>
      <c r="F33" s="25"/>
      <c r="G33" s="25"/>
      <c r="H33" s="25"/>
      <c r="I33" s="25"/>
      <c r="J33" s="27"/>
      <c r="K33" s="35"/>
      <c r="L33" s="28"/>
      <c r="M33" s="13"/>
      <c r="N33" s="13"/>
      <c r="O33" s="13"/>
    </row>
    <row r="34" spans="1:23" ht="21.6" customHeight="1">
      <c r="A34" s="25"/>
      <c r="B34" s="26"/>
      <c r="C34" s="34"/>
      <c r="D34" s="25"/>
      <c r="E34" s="25"/>
      <c r="F34" s="25"/>
      <c r="G34" s="25"/>
      <c r="H34" s="25"/>
      <c r="I34" s="25"/>
      <c r="J34" s="27"/>
      <c r="K34" s="35"/>
      <c r="L34" s="28"/>
      <c r="M34" s="13"/>
      <c r="N34" s="13"/>
      <c r="O34" s="13"/>
    </row>
    <row r="35" spans="1:23" ht="21.6" customHeight="1">
      <c r="A35" s="25"/>
      <c r="B35" s="26"/>
      <c r="C35" s="34"/>
      <c r="D35" s="25"/>
      <c r="E35" s="25"/>
      <c r="F35" s="25"/>
      <c r="G35" s="25"/>
      <c r="H35" s="25"/>
      <c r="I35" s="25"/>
      <c r="J35" s="27"/>
      <c r="K35" s="35"/>
      <c r="L35" s="28"/>
      <c r="M35" s="13"/>
      <c r="N35" s="13"/>
      <c r="O35" s="13"/>
    </row>
    <row r="36" spans="1:23" ht="36" customHeight="1">
      <c r="A36" s="16" t="s">
        <v>44</v>
      </c>
      <c r="B36" s="26"/>
      <c r="C36" s="34"/>
      <c r="D36" s="25"/>
      <c r="E36" s="25"/>
      <c r="F36" s="25"/>
      <c r="G36" s="25"/>
      <c r="H36" s="25"/>
      <c r="I36" s="25"/>
      <c r="J36" s="27"/>
      <c r="K36" s="30"/>
      <c r="L36" s="28"/>
      <c r="M36" s="13"/>
      <c r="N36" s="13"/>
      <c r="O36" s="13"/>
    </row>
    <row r="37" spans="1:23" ht="29.25" customHeight="1">
      <c r="A37" s="2" t="s">
        <v>48</v>
      </c>
      <c r="B37" s="26"/>
      <c r="C37" s="34"/>
      <c r="D37" s="25"/>
      <c r="E37" s="25"/>
      <c r="F37" s="25"/>
      <c r="G37" s="25"/>
      <c r="H37" s="25"/>
      <c r="I37" s="25"/>
      <c r="J37" s="27"/>
      <c r="K37" s="30"/>
      <c r="L37" s="28"/>
      <c r="M37" s="13"/>
      <c r="N37" s="13"/>
      <c r="O37" s="13"/>
    </row>
    <row r="38" spans="1:23" ht="29.25" customHeight="1">
      <c r="A38" s="64" t="s">
        <v>53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23" ht="87.75" customHeight="1">
      <c r="A39" s="3" t="s">
        <v>0</v>
      </c>
      <c r="B39" s="60" t="s">
        <v>1</v>
      </c>
      <c r="C39" s="61"/>
      <c r="D39" s="4" t="s">
        <v>5</v>
      </c>
      <c r="E39" s="4" t="s">
        <v>6</v>
      </c>
      <c r="F39" s="8" t="s">
        <v>7</v>
      </c>
      <c r="G39" s="9" t="s">
        <v>8</v>
      </c>
      <c r="H39" s="9" t="s">
        <v>9</v>
      </c>
      <c r="I39" s="8" t="s">
        <v>10</v>
      </c>
      <c r="J39" s="48" t="s">
        <v>2</v>
      </c>
      <c r="K39" s="4" t="s">
        <v>3</v>
      </c>
      <c r="L39" s="6" t="s">
        <v>11</v>
      </c>
      <c r="M39" s="18"/>
      <c r="N39" s="18"/>
      <c r="O39" s="7"/>
    </row>
    <row r="40" spans="1:23" ht="21.6" customHeight="1">
      <c r="A40" s="12">
        <v>1</v>
      </c>
      <c r="B40" s="20" t="s">
        <v>25</v>
      </c>
      <c r="C40" s="14"/>
      <c r="D40" s="15">
        <v>93</v>
      </c>
      <c r="E40" s="15">
        <v>97</v>
      </c>
      <c r="F40" s="12">
        <v>100</v>
      </c>
      <c r="G40" s="15">
        <v>100</v>
      </c>
      <c r="H40" s="15">
        <v>99</v>
      </c>
      <c r="I40" s="63">
        <f>H40+G40+F40+E40+D40</f>
        <v>489</v>
      </c>
      <c r="J40" s="17">
        <f xml:space="preserve"> I40/5</f>
        <v>97.8</v>
      </c>
      <c r="K40" s="36" t="str">
        <f>LOOKUP(J40,{0,35,50,66,80},{"রাসিব","মাকবুল","জায়্যিদ","জা. জিদ্দান","মুমতাজ"})</f>
        <v>মুমতাজ</v>
      </c>
      <c r="L40" s="62">
        <v>1</v>
      </c>
      <c r="M40" s="10"/>
      <c r="S40" s="70"/>
      <c r="T40" s="68"/>
      <c r="U40" s="27"/>
      <c r="V40" s="35"/>
      <c r="W40" s="70"/>
    </row>
    <row r="41" spans="1:23" ht="21.6" customHeight="1">
      <c r="A41" s="12">
        <v>2</v>
      </c>
      <c r="B41" s="20" t="s">
        <v>26</v>
      </c>
      <c r="C41" s="14"/>
      <c r="D41" s="15">
        <v>99</v>
      </c>
      <c r="E41" s="15">
        <v>100</v>
      </c>
      <c r="F41" s="12">
        <v>99</v>
      </c>
      <c r="G41" s="15">
        <v>93</v>
      </c>
      <c r="H41" s="15">
        <v>95</v>
      </c>
      <c r="I41" s="63">
        <f>H41+G41+F41+E41+D41</f>
        <v>486</v>
      </c>
      <c r="J41" s="17">
        <f>I41/5</f>
        <v>97.2</v>
      </c>
      <c r="K41" s="36" t="str">
        <f>LOOKUP(J41,{0,35,50,66,80},{"রাসিব","মাকবুল","জায়্যিদ","জা. জিদ্দান","মুমতাজ"})</f>
        <v>মুমতাজ</v>
      </c>
      <c r="L41" s="62">
        <v>2</v>
      </c>
      <c r="M41" s="10"/>
      <c r="S41" s="70"/>
      <c r="T41" s="70"/>
      <c r="U41" s="70"/>
      <c r="V41" s="70"/>
      <c r="W41" s="70"/>
    </row>
    <row r="42" spans="1:23" ht="21.6" customHeight="1">
      <c r="A42" s="12">
        <v>3</v>
      </c>
      <c r="B42" s="20" t="s">
        <v>22</v>
      </c>
      <c r="C42" s="14"/>
      <c r="D42" s="15">
        <v>91</v>
      </c>
      <c r="E42" s="15">
        <v>100</v>
      </c>
      <c r="F42" s="12">
        <v>100</v>
      </c>
      <c r="G42" s="15">
        <v>97</v>
      </c>
      <c r="H42" s="15">
        <v>95</v>
      </c>
      <c r="I42" s="63">
        <f>H42+G42+F42+E42+D42</f>
        <v>483</v>
      </c>
      <c r="J42" s="17">
        <f xml:space="preserve"> I42/5</f>
        <v>96.6</v>
      </c>
      <c r="K42" s="36" t="str">
        <f>LOOKUP(J42,{0,35,50,66,80},{"রাসিব","মাকবুল","জায়্যিদ","জা. জিদ্দান","মুমতাজ"})</f>
        <v>মুমতাজ</v>
      </c>
      <c r="L42" s="62">
        <v>3</v>
      </c>
      <c r="M42" s="10"/>
      <c r="N42" s="10"/>
      <c r="O42" s="38"/>
      <c r="S42" s="70"/>
      <c r="T42" s="70"/>
      <c r="U42" s="70"/>
      <c r="V42" s="70"/>
      <c r="W42" s="70"/>
    </row>
    <row r="43" spans="1:23" ht="21.6" customHeight="1">
      <c r="A43" s="12">
        <v>4</v>
      </c>
      <c r="B43" s="31" t="s">
        <v>43</v>
      </c>
      <c r="D43" s="15">
        <v>89</v>
      </c>
      <c r="E43" s="12">
        <v>100</v>
      </c>
      <c r="F43" s="15">
        <v>73</v>
      </c>
      <c r="G43" s="15">
        <v>99</v>
      </c>
      <c r="H43" s="15">
        <v>95</v>
      </c>
      <c r="I43" s="63">
        <v>456</v>
      </c>
      <c r="J43" s="17">
        <f t="shared" ref="J43:J48" si="4">I43/5</f>
        <v>91.2</v>
      </c>
      <c r="K43" s="37" t="str">
        <f>LOOKUP(J43,{0,35,50,66,80},{"রাসিব","মাকবুল","জায়্যিদ","জা. জিদ্দান","মুমতাজ"})</f>
        <v>মুমতাজ</v>
      </c>
      <c r="L43" s="62">
        <v>4</v>
      </c>
      <c r="M43" s="10"/>
    </row>
    <row r="44" spans="1:23" ht="21.6" customHeight="1">
      <c r="A44" s="12">
        <v>5</v>
      </c>
      <c r="B44" s="20" t="s">
        <v>24</v>
      </c>
      <c r="C44" s="14"/>
      <c r="D44" s="15">
        <v>63</v>
      </c>
      <c r="E44" s="15">
        <v>94</v>
      </c>
      <c r="F44" s="12">
        <v>85</v>
      </c>
      <c r="G44" s="15">
        <v>100</v>
      </c>
      <c r="H44" s="15">
        <v>97</v>
      </c>
      <c r="I44" s="63">
        <f>H44+G44+F44+E44+D44</f>
        <v>439</v>
      </c>
      <c r="J44" s="17">
        <f t="shared" si="4"/>
        <v>87.8</v>
      </c>
      <c r="K44" s="36" t="str">
        <f>LOOKUP(J44,{0,35,50,66,80},{"রাসিব","মাকবুল","জায়্যিদ","জা. জিদ্দান","মুমতাজ"})</f>
        <v>মুমতাজ</v>
      </c>
      <c r="L44" s="62">
        <v>5</v>
      </c>
      <c r="M44" s="10"/>
      <c r="N44" s="10"/>
    </row>
    <row r="45" spans="1:23" ht="21.6" customHeight="1">
      <c r="A45" s="12">
        <v>6</v>
      </c>
      <c r="B45" s="20" t="s">
        <v>21</v>
      </c>
      <c r="C45" s="14"/>
      <c r="D45" s="15">
        <v>84</v>
      </c>
      <c r="E45" s="15">
        <v>88</v>
      </c>
      <c r="F45" s="12">
        <v>79</v>
      </c>
      <c r="G45" s="15">
        <v>65</v>
      </c>
      <c r="H45" s="15">
        <v>95</v>
      </c>
      <c r="I45" s="63">
        <f>H45+G45+F45+E45+D45</f>
        <v>411</v>
      </c>
      <c r="J45" s="17">
        <f t="shared" si="4"/>
        <v>82.2</v>
      </c>
      <c r="K45" s="36" t="str">
        <f>LOOKUP(J45,{0,35,50,66,80},{"রাসিব","মাকবুল","জায়্যিদ","জা. জিদ্দান","মুমতাজ"})</f>
        <v>মুমতাজ</v>
      </c>
      <c r="L45" s="62">
        <v>6</v>
      </c>
      <c r="M45" s="10"/>
      <c r="N45" s="10"/>
    </row>
    <row r="46" spans="1:23" ht="21.6" customHeight="1">
      <c r="A46" s="12">
        <v>7</v>
      </c>
      <c r="B46" s="20" t="s">
        <v>23</v>
      </c>
      <c r="C46" s="14"/>
      <c r="D46" s="15">
        <v>62</v>
      </c>
      <c r="E46" s="15">
        <v>84</v>
      </c>
      <c r="F46" s="12">
        <v>79</v>
      </c>
      <c r="G46" s="15">
        <v>70</v>
      </c>
      <c r="H46" s="15">
        <v>85</v>
      </c>
      <c r="I46" s="63">
        <f>H46+G46+F46+E46+D46</f>
        <v>380</v>
      </c>
      <c r="J46" s="17">
        <f t="shared" si="4"/>
        <v>76</v>
      </c>
      <c r="K46" s="71" t="str">
        <f>LOOKUP(J46,{0,35,50,66,80},{"রাসিব","মাকবুল","জায়্যিদ","জা. জিদ্দান","মুমতাজ"})</f>
        <v>জা. জিদ্দান</v>
      </c>
      <c r="L46" s="62">
        <v>7</v>
      </c>
      <c r="M46" s="10"/>
      <c r="N46" s="10"/>
    </row>
    <row r="47" spans="1:23" ht="21.6" customHeight="1">
      <c r="A47" s="12">
        <v>8</v>
      </c>
      <c r="B47" s="32" t="s">
        <v>47</v>
      </c>
      <c r="C47" s="14"/>
      <c r="D47" s="15">
        <v>88</v>
      </c>
      <c r="E47" s="15">
        <v>65</v>
      </c>
      <c r="F47" s="12">
        <v>63</v>
      </c>
      <c r="G47" s="15">
        <v>63</v>
      </c>
      <c r="H47" s="15">
        <v>79</v>
      </c>
      <c r="I47" s="63">
        <f>H47+G47+F47+E47+D47</f>
        <v>358</v>
      </c>
      <c r="J47" s="17">
        <f t="shared" si="4"/>
        <v>71.599999999999994</v>
      </c>
      <c r="K47" s="71" t="str">
        <f>LOOKUP(J47,{0,35,50,66,80},{"রাসিব","মাকবুল","জায়্যিদ","জা. জিদ্দান","মুমতাজ"})</f>
        <v>জা. জিদ্দান</v>
      </c>
      <c r="L47" s="62">
        <v>8</v>
      </c>
      <c r="M47" s="10"/>
      <c r="N47" s="10"/>
    </row>
    <row r="48" spans="1:23" ht="21.6" customHeight="1">
      <c r="A48" s="12">
        <v>9</v>
      </c>
      <c r="B48" s="32" t="s">
        <v>42</v>
      </c>
      <c r="C48" s="14"/>
      <c r="D48" s="15">
        <v>46</v>
      </c>
      <c r="E48" s="15">
        <v>65</v>
      </c>
      <c r="F48" s="12">
        <v>80</v>
      </c>
      <c r="G48" s="15">
        <v>58</v>
      </c>
      <c r="H48" s="15">
        <v>89</v>
      </c>
      <c r="I48" s="63">
        <f>H48+G48+F48+E48+D48</f>
        <v>338</v>
      </c>
      <c r="J48" s="17">
        <f t="shared" si="4"/>
        <v>67.599999999999994</v>
      </c>
      <c r="K48" s="71" t="str">
        <f>LOOKUP(J48,{0,35,50,66,80},{"রাসিব","মাকবুল","জায়্যিদ","জা. জিদ্দান","মুমতাজ"})</f>
        <v>জা. জিদ্দান</v>
      </c>
      <c r="L48" s="62">
        <v>9</v>
      </c>
      <c r="M48" s="10"/>
      <c r="N48" s="10"/>
    </row>
    <row r="49" spans="1:12" s="70" customFormat="1" ht="21.6" customHeight="1">
      <c r="A49" s="25"/>
      <c r="B49" s="65"/>
      <c r="C49" s="66"/>
      <c r="D49" s="67"/>
      <c r="E49" s="67"/>
      <c r="F49" s="25"/>
      <c r="G49" s="67"/>
      <c r="H49" s="67"/>
      <c r="I49" s="68"/>
      <c r="J49" s="27"/>
      <c r="K49" s="35"/>
      <c r="L49" s="28"/>
    </row>
    <row r="50" spans="1:12" ht="21.6" customHeight="1">
      <c r="A50" s="25"/>
      <c r="B50" s="65"/>
      <c r="C50" s="66"/>
      <c r="D50" s="67"/>
      <c r="E50" s="67"/>
      <c r="F50" s="25"/>
      <c r="G50" s="67"/>
      <c r="H50" s="67"/>
      <c r="I50" s="68"/>
      <c r="J50" s="27"/>
      <c r="K50" s="35"/>
      <c r="L50" s="28"/>
    </row>
    <row r="51" spans="1:12" ht="21.6" customHeight="1">
      <c r="A51" s="25"/>
      <c r="B51" s="65"/>
      <c r="C51" s="66"/>
      <c r="D51" s="67"/>
      <c r="E51" s="67"/>
      <c r="F51" s="25"/>
      <c r="G51" s="67"/>
      <c r="H51" s="67"/>
      <c r="I51" s="68"/>
      <c r="J51" s="27"/>
      <c r="K51" s="35"/>
      <c r="L51" s="28"/>
    </row>
    <row r="52" spans="1:12" ht="21.6" customHeight="1">
      <c r="A52" s="25"/>
      <c r="B52" s="65"/>
      <c r="C52" s="66"/>
      <c r="D52" s="67"/>
      <c r="E52" s="67"/>
      <c r="F52" s="25"/>
      <c r="G52" s="67"/>
      <c r="H52" s="67"/>
      <c r="I52" s="68"/>
      <c r="J52" s="27"/>
      <c r="K52" s="35"/>
      <c r="L52" s="28"/>
    </row>
    <row r="53" spans="1:12" ht="21.6" customHeight="1">
      <c r="A53" s="25"/>
      <c r="B53" s="65"/>
      <c r="C53" s="66"/>
      <c r="D53" s="67"/>
      <c r="E53" s="67"/>
      <c r="F53" s="25"/>
      <c r="G53" s="67"/>
      <c r="H53" s="67"/>
      <c r="I53" s="68"/>
      <c r="J53" s="27"/>
      <c r="K53" s="35"/>
      <c r="L53" s="28"/>
    </row>
    <row r="54" spans="1:12" ht="21.6" customHeight="1">
      <c r="A54" s="25"/>
      <c r="B54" s="65"/>
      <c r="C54" s="66"/>
      <c r="D54" s="67"/>
      <c r="E54" s="67"/>
      <c r="F54" s="25"/>
      <c r="G54" s="67"/>
      <c r="H54" s="67"/>
      <c r="I54" s="68"/>
      <c r="J54" s="27"/>
      <c r="K54" s="35"/>
      <c r="L54" s="28"/>
    </row>
    <row r="55" spans="1:12" ht="21.6" customHeight="1">
      <c r="A55" s="25"/>
      <c r="B55" s="65"/>
      <c r="C55" s="66"/>
      <c r="D55" s="67"/>
      <c r="E55" s="67"/>
      <c r="F55" s="25"/>
      <c r="G55" s="67"/>
      <c r="H55" s="67"/>
      <c r="I55" s="68"/>
      <c r="J55" s="27"/>
      <c r="K55" s="35"/>
      <c r="L55" s="28"/>
    </row>
    <row r="56" spans="1:12" ht="21.6" customHeight="1">
      <c r="A56" s="25"/>
      <c r="B56" s="65"/>
      <c r="C56" s="66"/>
      <c r="D56" s="67"/>
      <c r="E56" s="67"/>
      <c r="F56" s="25"/>
      <c r="G56" s="67"/>
      <c r="H56" s="67"/>
      <c r="I56" s="68"/>
      <c r="J56" s="27"/>
      <c r="K56" s="35"/>
      <c r="L56" s="28"/>
    </row>
    <row r="57" spans="1:12" ht="21.6" customHeight="1">
      <c r="A57" s="25"/>
      <c r="B57" s="65"/>
      <c r="C57" s="66"/>
      <c r="D57" s="67"/>
      <c r="E57" s="67"/>
      <c r="F57" s="25"/>
      <c r="G57" s="67"/>
      <c r="H57" s="67"/>
      <c r="I57" s="68"/>
      <c r="J57" s="27"/>
      <c r="K57" s="35"/>
      <c r="L57" s="28"/>
    </row>
    <row r="58" spans="1:12" ht="21.6" customHeight="1">
      <c r="A58" s="25"/>
      <c r="B58" s="65"/>
      <c r="C58" s="66"/>
      <c r="D58" s="67"/>
      <c r="E58" s="67"/>
      <c r="F58" s="25"/>
      <c r="G58" s="67"/>
      <c r="H58" s="67"/>
      <c r="I58" s="68"/>
      <c r="J58" s="27"/>
      <c r="K58" s="35"/>
      <c r="L58" s="28"/>
    </row>
    <row r="59" spans="1:12" ht="21.6" customHeight="1">
      <c r="A59" s="25"/>
      <c r="B59" s="65"/>
      <c r="C59" s="66"/>
      <c r="D59" s="67"/>
      <c r="E59" s="67"/>
      <c r="F59" s="25"/>
      <c r="G59" s="67"/>
      <c r="H59" s="67"/>
      <c r="I59" s="68"/>
      <c r="J59" s="27"/>
      <c r="K59" s="35"/>
      <c r="L59" s="28"/>
    </row>
    <row r="60" spans="1:12" ht="21.6" customHeight="1">
      <c r="A60" s="25"/>
      <c r="B60" s="65"/>
      <c r="C60" s="66"/>
      <c r="D60" s="67"/>
      <c r="E60" s="67"/>
      <c r="F60" s="25"/>
      <c r="G60" s="67"/>
      <c r="H60" s="67"/>
      <c r="I60" s="68"/>
      <c r="J60" s="27"/>
      <c r="K60" s="35"/>
      <c r="L60" s="28"/>
    </row>
    <row r="61" spans="1:12" ht="21.6" customHeight="1">
      <c r="A61" s="25"/>
      <c r="B61" s="65"/>
      <c r="C61" s="66"/>
      <c r="D61" s="67"/>
      <c r="E61" s="67"/>
      <c r="F61" s="25"/>
      <c r="G61" s="67"/>
      <c r="H61" s="67"/>
      <c r="I61" s="68"/>
      <c r="J61" s="27"/>
      <c r="K61" s="35"/>
      <c r="L61" s="28"/>
    </row>
    <row r="62" spans="1:12" ht="21.6" customHeight="1">
      <c r="A62" s="25"/>
      <c r="B62" s="65"/>
      <c r="C62" s="66"/>
      <c r="D62" s="67"/>
      <c r="E62" s="67"/>
      <c r="F62" s="25"/>
      <c r="G62" s="67"/>
      <c r="H62" s="67"/>
      <c r="I62" s="68"/>
      <c r="J62" s="27"/>
      <c r="K62" s="35"/>
      <c r="L62" s="28"/>
    </row>
    <row r="63" spans="1:12" ht="21.6" customHeight="1">
      <c r="A63" s="25"/>
      <c r="B63" s="65"/>
      <c r="C63" s="66"/>
      <c r="D63" s="67"/>
      <c r="E63" s="67"/>
      <c r="F63" s="25"/>
      <c r="G63" s="67"/>
      <c r="H63" s="67"/>
      <c r="I63" s="68"/>
      <c r="J63" s="27"/>
      <c r="K63" s="35"/>
      <c r="L63" s="28"/>
    </row>
    <row r="64" spans="1:12" ht="21.6" customHeight="1">
      <c r="A64" s="25"/>
      <c r="B64" s="65"/>
      <c r="C64" s="66"/>
      <c r="D64" s="67"/>
      <c r="E64" s="67"/>
      <c r="F64" s="25"/>
      <c r="G64" s="67"/>
      <c r="H64" s="67"/>
      <c r="I64" s="68"/>
      <c r="J64" s="27"/>
      <c r="K64" s="35"/>
      <c r="L64" s="28"/>
    </row>
    <row r="65" spans="1:15" ht="21.6" customHeight="1">
      <c r="A65" s="25"/>
      <c r="B65" s="65"/>
      <c r="C65" s="66"/>
      <c r="D65" s="67"/>
      <c r="E65" s="67"/>
      <c r="F65" s="25"/>
      <c r="G65" s="67"/>
      <c r="H65" s="67"/>
      <c r="I65" s="68"/>
      <c r="J65" s="27"/>
      <c r="K65" s="35"/>
      <c r="L65" s="28"/>
    </row>
    <row r="66" spans="1:15" ht="21.6" customHeight="1">
      <c r="A66" s="25"/>
      <c r="B66" s="65"/>
      <c r="C66" s="66"/>
      <c r="D66" s="67"/>
      <c r="E66" s="67"/>
      <c r="F66" s="25"/>
      <c r="G66" s="67"/>
      <c r="H66" s="67"/>
      <c r="I66" s="68"/>
      <c r="J66" s="27"/>
      <c r="K66" s="35"/>
      <c r="L66" s="28"/>
    </row>
    <row r="67" spans="1:15" ht="21.6" customHeight="1">
      <c r="A67" s="25"/>
      <c r="B67" s="65"/>
      <c r="C67" s="66"/>
      <c r="D67" s="67"/>
      <c r="E67" s="67"/>
      <c r="F67" s="25"/>
      <c r="G67" s="67"/>
      <c r="H67" s="67"/>
      <c r="I67" s="68"/>
      <c r="J67" s="27"/>
      <c r="K67" s="35"/>
      <c r="L67" s="28"/>
    </row>
    <row r="68" spans="1:15" ht="21.6" customHeight="1">
      <c r="A68" s="25"/>
      <c r="B68" s="65"/>
      <c r="C68" s="66"/>
      <c r="D68" s="67"/>
      <c r="E68" s="67"/>
      <c r="F68" s="25"/>
      <c r="G68" s="67"/>
      <c r="H68" s="67"/>
      <c r="I68" s="68"/>
      <c r="J68" s="27"/>
      <c r="K68" s="35"/>
      <c r="L68" s="28"/>
    </row>
    <row r="69" spans="1:15" ht="21.6" customHeight="1">
      <c r="A69" s="25"/>
      <c r="B69" s="65"/>
      <c r="C69" s="66"/>
      <c r="D69" s="67"/>
      <c r="E69" s="67"/>
      <c r="F69" s="25"/>
      <c r="G69" s="67"/>
      <c r="H69" s="67"/>
      <c r="I69" s="68"/>
      <c r="J69" s="27"/>
      <c r="K69" s="35"/>
      <c r="L69" s="28"/>
    </row>
    <row r="70" spans="1:15" ht="21.6" customHeight="1">
      <c r="A70" s="25"/>
      <c r="B70" s="65"/>
      <c r="C70" s="66"/>
      <c r="D70" s="67"/>
      <c r="E70" s="67"/>
      <c r="F70" s="25"/>
      <c r="G70" s="67"/>
      <c r="H70" s="67"/>
      <c r="I70" s="68"/>
      <c r="J70" s="27"/>
      <c r="K70" s="35"/>
      <c r="L70" s="28"/>
    </row>
    <row r="71" spans="1:15" ht="42.75" customHeight="1">
      <c r="A71" s="39" t="s">
        <v>4</v>
      </c>
      <c r="B71" s="40"/>
      <c r="C71" s="40"/>
      <c r="D71" s="40"/>
      <c r="E71" s="40"/>
      <c r="F71" s="69"/>
      <c r="G71" s="40"/>
      <c r="H71" s="40"/>
      <c r="I71" s="40"/>
      <c r="J71" s="40"/>
      <c r="K71" s="40"/>
      <c r="L71" s="40"/>
      <c r="M71" s="1"/>
      <c r="N71" s="1"/>
      <c r="O71" s="1"/>
    </row>
    <row r="72" spans="1:15" ht="21.75">
      <c r="A72" s="42" t="s">
        <v>48</v>
      </c>
      <c r="B72" s="43"/>
      <c r="C72" s="44"/>
      <c r="D72" s="44"/>
      <c r="E72" s="44"/>
      <c r="F72" s="44"/>
      <c r="G72" s="44"/>
      <c r="H72" s="44"/>
      <c r="I72" s="44"/>
      <c r="J72" s="44"/>
      <c r="K72" s="42"/>
      <c r="L72" s="42"/>
      <c r="M72" s="2"/>
      <c r="N72" s="2"/>
      <c r="O72" s="2"/>
    </row>
    <row r="73" spans="1:15" ht="18">
      <c r="A73" s="45" t="s">
        <v>51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19"/>
    </row>
    <row r="74" spans="1:15" ht="92.25">
      <c r="A74" s="46" t="s">
        <v>0</v>
      </c>
      <c r="B74" s="59" t="s">
        <v>1</v>
      </c>
      <c r="C74" s="59"/>
      <c r="D74" s="5" t="s">
        <v>5</v>
      </c>
      <c r="E74" s="5" t="s">
        <v>6</v>
      </c>
      <c r="F74" s="47" t="s">
        <v>7</v>
      </c>
      <c r="G74" s="48" t="s">
        <v>8</v>
      </c>
      <c r="H74" s="48" t="s">
        <v>9</v>
      </c>
      <c r="I74" s="75" t="s">
        <v>10</v>
      </c>
      <c r="J74" s="22" t="s">
        <v>2</v>
      </c>
      <c r="K74" s="5" t="s">
        <v>3</v>
      </c>
      <c r="L74" s="49" t="s">
        <v>11</v>
      </c>
      <c r="M74" s="18"/>
      <c r="N74" s="18"/>
      <c r="O74" s="7"/>
    </row>
    <row r="75" spans="1:15" ht="22.35" customHeight="1">
      <c r="A75" s="41">
        <v>1</v>
      </c>
      <c r="B75" s="50" t="s">
        <v>33</v>
      </c>
      <c r="C75" s="51"/>
      <c r="D75" s="41">
        <v>100</v>
      </c>
      <c r="E75" s="41">
        <v>100</v>
      </c>
      <c r="F75" s="41">
        <v>97</v>
      </c>
      <c r="G75" s="41">
        <v>100</v>
      </c>
      <c r="H75" s="41">
        <v>99</v>
      </c>
      <c r="I75" s="72">
        <f>H75+G75+F75+E75+D75</f>
        <v>496</v>
      </c>
      <c r="J75" s="52">
        <f>I75/5</f>
        <v>99.2</v>
      </c>
      <c r="K75" s="53" t="str">
        <f>LOOKUP(J75,{0,35,50,66,80},{"রাসিব","মাকবুল","জায়্যিদ","জা. জিদ্দান","মুমতাজ"})</f>
        <v>মুমতাজ</v>
      </c>
      <c r="L75" s="74">
        <v>1</v>
      </c>
    </row>
    <row r="76" spans="1:15" ht="23.1" customHeight="1">
      <c r="A76" s="41">
        <v>2</v>
      </c>
      <c r="B76" s="50" t="s">
        <v>32</v>
      </c>
      <c r="C76" s="51"/>
      <c r="D76" s="41">
        <v>99</v>
      </c>
      <c r="E76" s="41">
        <v>100</v>
      </c>
      <c r="F76" s="41">
        <v>95</v>
      </c>
      <c r="G76" s="41">
        <v>99</v>
      </c>
      <c r="H76" s="41">
        <v>100</v>
      </c>
      <c r="I76" s="72">
        <f>H76+G76+F76+E76+D76</f>
        <v>493</v>
      </c>
      <c r="J76" s="52">
        <f>I76/5</f>
        <v>98.6</v>
      </c>
      <c r="K76" s="53" t="str">
        <f>LOOKUP(J76,{0,35,50,66,80},{"রাসিব","মাকবুল","জায়্যিদ","জা. জিদ্দান","মুমতাজ"})</f>
        <v>মুমতাজ</v>
      </c>
      <c r="L76" s="74">
        <v>2</v>
      </c>
    </row>
    <row r="77" spans="1:15" ht="23.1" customHeight="1">
      <c r="A77" s="41">
        <v>3</v>
      </c>
      <c r="B77" s="50" t="s">
        <v>19</v>
      </c>
      <c r="C77" s="51"/>
      <c r="D77" s="41">
        <v>96</v>
      </c>
      <c r="E77" s="41">
        <v>100</v>
      </c>
      <c r="F77" s="41">
        <v>97</v>
      </c>
      <c r="G77" s="41">
        <v>99</v>
      </c>
      <c r="H77" s="41">
        <v>100</v>
      </c>
      <c r="I77" s="72">
        <f>H77+G77+F77+E77+D77</f>
        <v>492</v>
      </c>
      <c r="J77" s="52">
        <f>I77/5</f>
        <v>98.4</v>
      </c>
      <c r="K77" s="53" t="str">
        <f>LOOKUP(J77,{0,35,50,66,80},{"রাসিব","মাকবুল","জায়্যিদ","জা. জিদ্দান","মুমতাজ"})</f>
        <v>মুমতাজ</v>
      </c>
      <c r="L77" s="74">
        <v>3</v>
      </c>
    </row>
    <row r="78" spans="1:15" ht="23.1" customHeight="1">
      <c r="A78" s="41">
        <v>4</v>
      </c>
      <c r="B78" s="54" t="s">
        <v>35</v>
      </c>
      <c r="C78" s="51"/>
      <c r="D78" s="41">
        <v>99</v>
      </c>
      <c r="E78" s="41">
        <v>90</v>
      </c>
      <c r="F78" s="41">
        <v>100</v>
      </c>
      <c r="G78" s="41">
        <v>99</v>
      </c>
      <c r="H78" s="41">
        <v>100</v>
      </c>
      <c r="I78" s="72">
        <f t="shared" ref="I78:I89" si="5">H78+G78+F78+E78+D78</f>
        <v>488</v>
      </c>
      <c r="J78" s="52">
        <f t="shared" ref="J78:J89" si="6">I78/5</f>
        <v>97.6</v>
      </c>
      <c r="K78" s="53" t="str">
        <f>LOOKUP(J78,{0,35,50,66,80},{"রাসিব","মাকবুল","জায়্যিদ","জা. জিদ্দান","মুমতাজ"})</f>
        <v>মুমতাজ</v>
      </c>
      <c r="L78" s="74">
        <v>4</v>
      </c>
    </row>
    <row r="79" spans="1:15" ht="23.1" customHeight="1">
      <c r="A79" s="41">
        <v>5</v>
      </c>
      <c r="B79" s="50" t="s">
        <v>30</v>
      </c>
      <c r="C79" s="51"/>
      <c r="D79" s="41">
        <v>96</v>
      </c>
      <c r="E79" s="41">
        <v>95</v>
      </c>
      <c r="F79" s="41">
        <v>97</v>
      </c>
      <c r="G79" s="41">
        <v>100</v>
      </c>
      <c r="H79" s="41">
        <v>97</v>
      </c>
      <c r="I79" s="72">
        <f>H79+G79+F79+E79+D79</f>
        <v>485</v>
      </c>
      <c r="J79" s="52">
        <f>I79/5</f>
        <v>97</v>
      </c>
      <c r="K79" s="53" t="str">
        <f>LOOKUP(J79,{0,35,50,66,80},{"রাসিব","মাকবুল","জায়্যিদ","জা. জিদ্দান","মুমতাজ"})</f>
        <v>মুমতাজ</v>
      </c>
      <c r="L79" s="74">
        <v>5</v>
      </c>
    </row>
    <row r="80" spans="1:15" ht="23.1" customHeight="1">
      <c r="A80" s="41">
        <v>6</v>
      </c>
      <c r="B80" s="50" t="s">
        <v>31</v>
      </c>
      <c r="C80" s="51"/>
      <c r="D80" s="41">
        <v>100</v>
      </c>
      <c r="E80" s="41">
        <v>100</v>
      </c>
      <c r="F80" s="41">
        <v>86</v>
      </c>
      <c r="G80" s="41">
        <v>100</v>
      </c>
      <c r="H80" s="41">
        <v>98</v>
      </c>
      <c r="I80" s="72">
        <f>H80+G80+F80+E80+D80</f>
        <v>484</v>
      </c>
      <c r="J80" s="52">
        <f>I80/5</f>
        <v>96.8</v>
      </c>
      <c r="K80" s="53" t="str">
        <f>LOOKUP(J80,{0,35,50,66,80},{"রাসিব","মাকবুল","জায়্যিদ","জা. জিদ্দান","মুমতাজ"})</f>
        <v>মুমতাজ</v>
      </c>
      <c r="L80" s="74">
        <v>6</v>
      </c>
    </row>
    <row r="81" spans="1:12" ht="23.1" customHeight="1">
      <c r="A81" s="41">
        <v>7</v>
      </c>
      <c r="B81" s="50" t="s">
        <v>39</v>
      </c>
      <c r="C81" s="51"/>
      <c r="D81" s="41">
        <v>98</v>
      </c>
      <c r="E81" s="41">
        <v>90</v>
      </c>
      <c r="F81" s="41">
        <v>89</v>
      </c>
      <c r="G81" s="41">
        <v>100</v>
      </c>
      <c r="H81" s="41">
        <v>99</v>
      </c>
      <c r="I81" s="72">
        <f t="shared" ref="I81:I84" si="7">H81+G81+F81+E81+D81</f>
        <v>476</v>
      </c>
      <c r="J81" s="52">
        <f t="shared" ref="J81:J84" si="8">I81/5</f>
        <v>95.2</v>
      </c>
      <c r="K81" s="53" t="str">
        <f>LOOKUP(J81,{0,35,50,66,80},{"রাসিব","মাকবুল","জায়্যিদ","জা. জিদ্দান","মুমতাজ"})</f>
        <v>মুমতাজ</v>
      </c>
      <c r="L81" s="74">
        <v>7</v>
      </c>
    </row>
    <row r="82" spans="1:12" ht="23.1" customHeight="1">
      <c r="A82" s="41">
        <v>8</v>
      </c>
      <c r="B82" s="50" t="s">
        <v>27</v>
      </c>
      <c r="C82" s="51"/>
      <c r="D82" s="41">
        <v>97</v>
      </c>
      <c r="E82" s="41">
        <v>100</v>
      </c>
      <c r="F82" s="41">
        <v>86</v>
      </c>
      <c r="G82" s="41">
        <v>90</v>
      </c>
      <c r="H82" s="41">
        <v>99</v>
      </c>
      <c r="I82" s="72">
        <f t="shared" si="7"/>
        <v>472</v>
      </c>
      <c r="J82" s="52">
        <f t="shared" si="8"/>
        <v>94.4</v>
      </c>
      <c r="K82" s="53" t="str">
        <f>LOOKUP(J82,{0,35,50,66,80},{"রাসিব","মাকবুল","জায়্যিদ","জা. জিদ্দান","মুমতাজ"})</f>
        <v>মুমতাজ</v>
      </c>
      <c r="L82" s="74">
        <v>8</v>
      </c>
    </row>
    <row r="83" spans="1:12" ht="23.1" customHeight="1">
      <c r="A83" s="41">
        <v>9</v>
      </c>
      <c r="B83" s="50" t="s">
        <v>29</v>
      </c>
      <c r="C83" s="51"/>
      <c r="D83" s="41">
        <v>99</v>
      </c>
      <c r="E83" s="41">
        <v>80</v>
      </c>
      <c r="F83" s="41">
        <v>92</v>
      </c>
      <c r="G83" s="41">
        <v>100</v>
      </c>
      <c r="H83" s="41">
        <v>99</v>
      </c>
      <c r="I83" s="72">
        <f t="shared" si="7"/>
        <v>470</v>
      </c>
      <c r="J83" s="52">
        <f t="shared" si="8"/>
        <v>94</v>
      </c>
      <c r="K83" s="53" t="str">
        <f>LOOKUP(J83,{0,35,50,66,80},{"রাসিব","মাকবুল","জায়্যিদ","জা. জিদ্দান","মুমতাজ"})</f>
        <v>মুমতাজ</v>
      </c>
      <c r="L83" s="74">
        <v>9</v>
      </c>
    </row>
    <row r="84" spans="1:12" ht="23.1" customHeight="1">
      <c r="A84" s="41">
        <v>10</v>
      </c>
      <c r="B84" s="50" t="s">
        <v>37</v>
      </c>
      <c r="C84" s="51"/>
      <c r="D84" s="41">
        <v>95</v>
      </c>
      <c r="E84" s="41">
        <v>70</v>
      </c>
      <c r="F84" s="41">
        <v>97</v>
      </c>
      <c r="G84" s="41">
        <v>98</v>
      </c>
      <c r="H84" s="41">
        <v>100</v>
      </c>
      <c r="I84" s="72">
        <f t="shared" si="7"/>
        <v>460</v>
      </c>
      <c r="J84" s="52">
        <f t="shared" si="8"/>
        <v>92</v>
      </c>
      <c r="K84" s="53" t="str">
        <f>LOOKUP(J84,{0,35,50,66,80},{"রাসিব","মাকবুল","জায়্যিদ","জা. জিদ্দান","মুমতাজ"})</f>
        <v>মুমতাজ</v>
      </c>
      <c r="L84" s="74">
        <v>10</v>
      </c>
    </row>
    <row r="85" spans="1:12" ht="23.1" customHeight="1">
      <c r="A85" s="41">
        <v>11</v>
      </c>
      <c r="B85" s="50" t="s">
        <v>34</v>
      </c>
      <c r="C85" s="51"/>
      <c r="D85" s="41">
        <v>95</v>
      </c>
      <c r="E85" s="41">
        <v>85</v>
      </c>
      <c r="F85" s="41">
        <v>57</v>
      </c>
      <c r="G85" s="41">
        <v>82</v>
      </c>
      <c r="H85" s="41">
        <v>48</v>
      </c>
      <c r="I85" s="72">
        <f t="shared" si="5"/>
        <v>367</v>
      </c>
      <c r="J85" s="52">
        <f t="shared" si="6"/>
        <v>73.400000000000006</v>
      </c>
      <c r="K85" s="73" t="str">
        <f>LOOKUP(J85,{0,35,50,66,80},{"রাসিব","মাকবুল","জায়্যিদ","জা. জিদ্দান","মুমতাজ"})</f>
        <v>জা. জিদ্দান</v>
      </c>
      <c r="L85" s="74">
        <v>11</v>
      </c>
    </row>
    <row r="86" spans="1:12" ht="23.1" customHeight="1">
      <c r="A86" s="41">
        <v>12</v>
      </c>
      <c r="B86" s="50" t="s">
        <v>28</v>
      </c>
      <c r="C86" s="51"/>
      <c r="D86" s="41">
        <v>48</v>
      </c>
      <c r="E86" s="41">
        <v>60</v>
      </c>
      <c r="F86" s="41">
        <v>75</v>
      </c>
      <c r="G86" s="41">
        <v>97</v>
      </c>
      <c r="H86" s="41">
        <v>42</v>
      </c>
      <c r="I86" s="72">
        <f>H86+G86+F86+E86+D86</f>
        <v>322</v>
      </c>
      <c r="J86" s="52">
        <f>I86/5</f>
        <v>64.400000000000006</v>
      </c>
      <c r="K86" s="53" t="str">
        <f>LOOKUP(J86,{0,35,50,66,80},{"রাসিব","মাকবুল","জায়্যিদ","জা. জিদ্দান","মুমতাজ"})</f>
        <v>জায়্যিদ</v>
      </c>
      <c r="L86" s="74">
        <v>12</v>
      </c>
    </row>
    <row r="87" spans="1:12" ht="23.1" customHeight="1">
      <c r="A87" s="41">
        <v>13</v>
      </c>
      <c r="B87" s="54" t="s">
        <v>38</v>
      </c>
      <c r="C87" s="51"/>
      <c r="D87" s="41">
        <v>41</v>
      </c>
      <c r="E87" s="41">
        <v>65</v>
      </c>
      <c r="F87" s="41">
        <v>69</v>
      </c>
      <c r="G87" s="41">
        <v>96</v>
      </c>
      <c r="H87" s="41">
        <v>40</v>
      </c>
      <c r="I87" s="72">
        <f>H87+G87+F87+E87+D87</f>
        <v>311</v>
      </c>
      <c r="J87" s="52">
        <f>I87/5</f>
        <v>62.2</v>
      </c>
      <c r="K87" s="53" t="str">
        <f>LOOKUP(J87,{0,35,50,66,80},{"রাসিব","মাকবুল","জায়্যিদ","জা. জিদ্দান","মুমতাজ"})</f>
        <v>জায়্যিদ</v>
      </c>
      <c r="L87" s="74">
        <v>13</v>
      </c>
    </row>
    <row r="88" spans="1:12" ht="23.1" customHeight="1">
      <c r="A88" s="41">
        <v>14</v>
      </c>
      <c r="B88" s="54" t="s">
        <v>45</v>
      </c>
      <c r="C88" s="51"/>
      <c r="D88" s="41">
        <v>41</v>
      </c>
      <c r="E88" s="41">
        <v>35</v>
      </c>
      <c r="F88" s="41">
        <v>67</v>
      </c>
      <c r="G88" s="41">
        <v>100</v>
      </c>
      <c r="H88" s="41">
        <v>55</v>
      </c>
      <c r="I88" s="72">
        <f>H88+G88+F88+E88+D88</f>
        <v>298</v>
      </c>
      <c r="J88" s="52">
        <f>I88/5</f>
        <v>59.6</v>
      </c>
      <c r="K88" s="53" t="str">
        <f>LOOKUP(J88,{0,35,50,66,80},{"রাসিব","মাকবুল","জায়্যিদ","জা. জিদ্দান","মুমতাজ"})</f>
        <v>জায়্যিদ</v>
      </c>
      <c r="L88" s="72">
        <v>14</v>
      </c>
    </row>
    <row r="89" spans="1:12" ht="23.1" customHeight="1">
      <c r="A89" s="41">
        <v>15</v>
      </c>
      <c r="B89" s="50" t="s">
        <v>36</v>
      </c>
      <c r="C89" s="51"/>
      <c r="D89" s="41">
        <v>10</v>
      </c>
      <c r="E89" s="41">
        <v>35</v>
      </c>
      <c r="F89" s="41">
        <v>13</v>
      </c>
      <c r="G89" s="41">
        <v>70</v>
      </c>
      <c r="H89" s="41">
        <v>75</v>
      </c>
      <c r="I89" s="72">
        <f t="shared" si="5"/>
        <v>203</v>
      </c>
      <c r="J89" s="52">
        <f t="shared" si="6"/>
        <v>40.6</v>
      </c>
      <c r="K89" s="53" t="str">
        <f>LOOKUP(J89,{0,35,50,66,80},{"রাসিব","মাকবুল","জায়্যিদ","জা. জিদ্দান","মুমতাজ"})</f>
        <v>মাকবুল</v>
      </c>
      <c r="L89" s="72">
        <v>15</v>
      </c>
    </row>
    <row r="90" spans="1:12" ht="19.5">
      <c r="A90" s="55"/>
      <c r="B90" s="55"/>
      <c r="C90" s="55"/>
      <c r="D90" s="55"/>
      <c r="E90" s="55"/>
      <c r="F90" s="55"/>
      <c r="G90" s="55"/>
      <c r="H90" s="55"/>
      <c r="I90" s="55"/>
      <c r="J90" s="56" t="s">
        <v>49</v>
      </c>
      <c r="K90" s="55"/>
      <c r="L90" s="55"/>
    </row>
    <row r="91" spans="1:12" ht="21.75">
      <c r="A91" s="55"/>
      <c r="B91" s="55"/>
      <c r="C91" s="55"/>
      <c r="D91" s="55"/>
      <c r="E91" s="55"/>
      <c r="F91" s="55"/>
      <c r="G91" s="55"/>
      <c r="H91" s="55"/>
      <c r="I91" s="55"/>
      <c r="J91" s="57" t="s">
        <v>50</v>
      </c>
      <c r="K91" s="58"/>
      <c r="L91" s="55"/>
    </row>
    <row r="92" spans="1:12" ht="21.7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8"/>
      <c r="L92" s="55"/>
    </row>
  </sheetData>
  <sortState ref="B5:K15">
    <sortCondition descending="1" ref="I5:I15"/>
  </sortState>
  <mergeCells count="3">
    <mergeCell ref="B74:C74"/>
    <mergeCell ref="B4:C4"/>
    <mergeCell ref="B39:C39"/>
  </mergeCells>
  <pageMargins left="0.5" right="0" top="0" bottom="0" header="0" footer="0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2026-04-26T05:36:36Z</dcterms:modified>
</cp:coreProperties>
</file>