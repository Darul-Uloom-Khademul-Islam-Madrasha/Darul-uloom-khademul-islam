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595"/>
  </bookViews>
  <sheets>
    <sheet name="Sheet6" sheetId="6" r:id="rId1"/>
    <sheet name="Sheet1" sheetId="1" r:id="rId2"/>
  </sheets>
  <definedNames>
    <definedName name="_xlnm._FilterDatabase" localSheetId="1" hidden="1">Sheet1!$D$5:$M$19</definedName>
  </definedNames>
  <calcPr calcId="144525"/>
</workbook>
</file>

<file path=xl/calcChain.xml><?xml version="1.0" encoding="utf-8"?>
<calcChain xmlns="http://schemas.openxmlformats.org/spreadsheetml/2006/main">
  <c r="J5" i="1" l="1"/>
  <c r="J76" i="1"/>
  <c r="J38" i="1"/>
  <c r="K5" i="6"/>
  <c r="L5" i="6" s="1"/>
  <c r="M5" i="6" s="1"/>
  <c r="K6" i="6"/>
  <c r="L6" i="6" s="1"/>
  <c r="M6" i="6" s="1"/>
  <c r="K8" i="6"/>
  <c r="L8" i="6" s="1"/>
  <c r="M8" i="6" s="1"/>
  <c r="K11" i="6"/>
  <c r="L11" i="6" s="1"/>
  <c r="M11" i="6" s="1"/>
  <c r="K12" i="6"/>
  <c r="L12" i="6" s="1"/>
  <c r="M12" i="6" s="1"/>
  <c r="K13" i="6"/>
  <c r="L13" i="6" s="1"/>
  <c r="M13" i="6" s="1"/>
  <c r="K7" i="6"/>
  <c r="L7" i="6" s="1"/>
  <c r="M7" i="6" s="1"/>
  <c r="K9" i="6"/>
  <c r="L9" i="6" s="1"/>
  <c r="M9" i="6" s="1"/>
  <c r="K15" i="6"/>
  <c r="L15" i="6" s="1"/>
  <c r="M15" i="6" s="1"/>
  <c r="K14" i="6"/>
  <c r="L14" i="6" s="1"/>
  <c r="M14" i="6" s="1"/>
  <c r="K16" i="6"/>
  <c r="L16" i="6" s="1"/>
  <c r="M16" i="6" s="1"/>
  <c r="K17" i="6"/>
  <c r="L17" i="6" s="1"/>
  <c r="M17" i="6" s="1"/>
  <c r="K10" i="6"/>
  <c r="J81" i="1" l="1"/>
  <c r="K81" i="1" s="1"/>
  <c r="L81" i="1" s="1"/>
  <c r="J89" i="1" l="1"/>
  <c r="L10" i="6"/>
  <c r="M10" i="6" s="1"/>
  <c r="J7" i="1"/>
  <c r="J85" i="1" l="1"/>
  <c r="J79" i="1"/>
  <c r="J91" i="1"/>
  <c r="J87" i="1"/>
  <c r="J57" i="1" l="1"/>
  <c r="K57" i="1" s="1"/>
  <c r="L57" i="1" s="1"/>
  <c r="J46" i="1"/>
  <c r="K46" i="1" s="1"/>
  <c r="L46" i="1" s="1"/>
  <c r="J66" i="1"/>
  <c r="K66" i="1" s="1"/>
  <c r="L66" i="1" s="1"/>
  <c r="J56" i="1"/>
  <c r="K56" i="1" s="1"/>
  <c r="L56" i="1" s="1"/>
  <c r="J60" i="1"/>
  <c r="K60" i="1" s="1"/>
  <c r="L60" i="1" s="1"/>
  <c r="J23" i="1" l="1"/>
  <c r="K23" i="1" s="1"/>
  <c r="L23" i="1" s="1"/>
  <c r="J14" i="1"/>
  <c r="K14" i="1" s="1"/>
  <c r="L14" i="1" s="1"/>
  <c r="J78" i="1" l="1"/>
  <c r="J77" i="1"/>
  <c r="J86" i="1"/>
  <c r="J44" i="1"/>
  <c r="K44" i="1" s="1"/>
  <c r="L44" i="1" s="1"/>
  <c r="J68" i="1"/>
  <c r="K68" i="1" s="1"/>
  <c r="L68" i="1" s="1"/>
  <c r="J67" i="1"/>
  <c r="K67" i="1" s="1"/>
  <c r="L67" i="1" s="1"/>
  <c r="J49" i="1" l="1"/>
  <c r="K49" i="1" s="1"/>
  <c r="L49" i="1" s="1"/>
  <c r="J47" i="1"/>
  <c r="K47" i="1" s="1"/>
  <c r="L47" i="1" s="1"/>
  <c r="J64" i="1"/>
  <c r="K64" i="1" s="1"/>
  <c r="L64" i="1" s="1"/>
  <c r="J65" i="1"/>
  <c r="K65" i="1" s="1"/>
  <c r="L65" i="1" s="1"/>
  <c r="J51" i="1"/>
  <c r="K51" i="1" s="1"/>
  <c r="L51" i="1" s="1"/>
  <c r="J62" i="1"/>
  <c r="K62" i="1" s="1"/>
  <c r="L62" i="1" s="1"/>
  <c r="J58" i="1"/>
  <c r="K58" i="1" s="1"/>
  <c r="L58" i="1" s="1"/>
  <c r="J19" i="1"/>
  <c r="K19" i="1" s="1"/>
  <c r="L19" i="1" s="1"/>
  <c r="J26" i="1"/>
  <c r="K26" i="1" s="1"/>
  <c r="L26" i="1" s="1"/>
  <c r="K7" i="1"/>
  <c r="L7" i="1" s="1"/>
  <c r="J22" i="1"/>
  <c r="K22" i="1" s="1"/>
  <c r="L22" i="1" s="1"/>
  <c r="J8" i="1"/>
  <c r="K8" i="1" s="1"/>
  <c r="L8" i="1" s="1"/>
  <c r="J20" i="1"/>
  <c r="K20" i="1" s="1"/>
  <c r="L20" i="1" s="1"/>
  <c r="J27" i="1"/>
  <c r="K27" i="1" s="1"/>
  <c r="L27" i="1" s="1"/>
  <c r="J10" i="1"/>
  <c r="K10" i="1" s="1"/>
  <c r="L10" i="1" s="1"/>
  <c r="K38" i="1" l="1"/>
  <c r="L38" i="1" s="1"/>
  <c r="J42" i="1"/>
  <c r="K42" i="1" s="1"/>
  <c r="L42" i="1" s="1"/>
  <c r="J6" i="1"/>
  <c r="J45" i="1" l="1"/>
  <c r="K45" i="1" s="1"/>
  <c r="L45" i="1" s="1"/>
  <c r="J39" i="1"/>
  <c r="K39" i="1" s="1"/>
  <c r="L39" i="1" s="1"/>
  <c r="J59" i="1"/>
  <c r="K59" i="1" s="1"/>
  <c r="L59" i="1" s="1"/>
  <c r="J63" i="1"/>
  <c r="K63" i="1" s="1"/>
  <c r="L63" i="1" s="1"/>
  <c r="J40" i="1"/>
  <c r="K40" i="1" s="1"/>
  <c r="L40" i="1" s="1"/>
  <c r="J41" i="1"/>
  <c r="K41" i="1" s="1"/>
  <c r="L41" i="1" s="1"/>
  <c r="J43" i="1"/>
  <c r="K43" i="1" s="1"/>
  <c r="L43" i="1" s="1"/>
  <c r="J50" i="1"/>
  <c r="K50" i="1" s="1"/>
  <c r="L50" i="1" s="1"/>
  <c r="J53" i="1"/>
  <c r="K53" i="1" s="1"/>
  <c r="L53" i="1" s="1"/>
  <c r="J52" i="1"/>
  <c r="K52" i="1" s="1"/>
  <c r="L52" i="1" s="1"/>
  <c r="J48" i="1"/>
  <c r="K48" i="1" s="1"/>
  <c r="L48" i="1" s="1"/>
  <c r="J54" i="1"/>
  <c r="K54" i="1" s="1"/>
  <c r="L54" i="1" s="1"/>
  <c r="J61" i="1"/>
  <c r="K61" i="1" s="1"/>
  <c r="L61" i="1" s="1"/>
  <c r="J55" i="1"/>
  <c r="K55" i="1" s="1"/>
  <c r="L55" i="1" s="1"/>
  <c r="J18" i="1"/>
  <c r="K18" i="1" s="1"/>
  <c r="L18" i="1" s="1"/>
  <c r="K6" i="1"/>
  <c r="L6" i="1" s="1"/>
  <c r="J17" i="1"/>
  <c r="K17" i="1" s="1"/>
  <c r="L17" i="1" s="1"/>
  <c r="J13" i="1"/>
  <c r="K13" i="1" s="1"/>
  <c r="L13" i="1" s="1"/>
  <c r="J12" i="1"/>
  <c r="K12" i="1" s="1"/>
  <c r="L12" i="1" s="1"/>
  <c r="K5" i="1"/>
  <c r="L5" i="1" s="1"/>
  <c r="J21" i="1"/>
  <c r="K21" i="1" s="1"/>
  <c r="L21" i="1" s="1"/>
  <c r="J11" i="1"/>
  <c r="K11" i="1" s="1"/>
  <c r="L11" i="1" s="1"/>
  <c r="J9" i="1"/>
  <c r="K9" i="1" s="1"/>
  <c r="L9" i="1" s="1"/>
  <c r="J24" i="1"/>
  <c r="K24" i="1" s="1"/>
  <c r="L24" i="1" s="1"/>
  <c r="J25" i="1"/>
  <c r="K25" i="1" s="1"/>
  <c r="L25" i="1" s="1"/>
  <c r="J15" i="1"/>
  <c r="K15" i="1" s="1"/>
  <c r="L15" i="1" s="1"/>
  <c r="J16" i="1"/>
  <c r="K16" i="1" s="1"/>
  <c r="L16" i="1" s="1"/>
  <c r="K77" i="1" l="1"/>
  <c r="L77" i="1" s="1"/>
  <c r="J82" i="1"/>
  <c r="K82" i="1" s="1"/>
  <c r="L82" i="1" s="1"/>
  <c r="K91" i="1"/>
  <c r="L91" i="1" s="1"/>
  <c r="K85" i="1"/>
  <c r="L85" i="1" s="1"/>
  <c r="J83" i="1"/>
  <c r="K83" i="1" s="1"/>
  <c r="L83" i="1" s="1"/>
  <c r="J84" i="1"/>
  <c r="K84" i="1" s="1"/>
  <c r="L84" i="1" s="1"/>
  <c r="J90" i="1"/>
  <c r="K90" i="1" s="1"/>
  <c r="L90" i="1" s="1"/>
  <c r="K87" i="1"/>
  <c r="L87" i="1" s="1"/>
  <c r="J88" i="1"/>
  <c r="K88" i="1" s="1"/>
  <c r="L88" i="1" s="1"/>
  <c r="K76" i="1"/>
  <c r="L76" i="1" s="1"/>
  <c r="K78" i="1"/>
  <c r="L78" i="1" s="1"/>
  <c r="J80" i="1"/>
  <c r="K80" i="1" s="1"/>
  <c r="L80" i="1" s="1"/>
  <c r="K86" i="1"/>
  <c r="L86" i="1" s="1"/>
  <c r="K89" i="1"/>
  <c r="L89" i="1" s="1"/>
  <c r="K79" i="1"/>
  <c r="L79" i="1" s="1"/>
</calcChain>
</file>

<file path=xl/sharedStrings.xml><?xml version="1.0" encoding="utf-8"?>
<sst xmlns="http://schemas.openxmlformats.org/spreadsheetml/2006/main" count="152" uniqueCount="106">
  <si>
    <t>ক্র. নং.</t>
  </si>
  <si>
    <t>পরীক্ষার্থীর নাম</t>
  </si>
  <si>
    <t>গড়</t>
  </si>
  <si>
    <t>বিভাগ</t>
  </si>
  <si>
    <t xml:space="preserve">বাংলা </t>
  </si>
  <si>
    <t xml:space="preserve">ইংরেজি </t>
  </si>
  <si>
    <t xml:space="preserve">গণিত </t>
  </si>
  <si>
    <t xml:space="preserve">মোট </t>
  </si>
  <si>
    <t xml:space="preserve">স্থান </t>
  </si>
  <si>
    <t xml:space="preserve">মোসা. সিদরাতুল মুনতাহা </t>
  </si>
  <si>
    <t>মোসা. কানিজ ফাতেমা</t>
  </si>
  <si>
    <t>মো. আ. কাইয়ুম</t>
  </si>
  <si>
    <t>মো. জিকরুল্লাহ</t>
  </si>
  <si>
    <t xml:space="preserve">মো. হুসাইন </t>
  </si>
  <si>
    <t xml:space="preserve">মো. উসমান </t>
  </si>
  <si>
    <t xml:space="preserve">মো. আ. আহাদ </t>
  </si>
  <si>
    <t xml:space="preserve">মো. আদিয়ান হাসান </t>
  </si>
  <si>
    <t>মো. আবু সুফিয়ান</t>
  </si>
  <si>
    <t>মো. আল মাজিদ</t>
  </si>
  <si>
    <t>মোসা. আনাস্তাছিয়া আনিশা</t>
  </si>
  <si>
    <t>মো. ইরফান আজিজ</t>
  </si>
  <si>
    <t xml:space="preserve">মো. আলিফ </t>
  </si>
  <si>
    <t xml:space="preserve">            দারুল উলুম খাদেমুল ইসলাম মাদরাসা, ফার্মপাড়া, চুয়াডাঙ্গা। </t>
  </si>
  <si>
    <t xml:space="preserve">স্বাক্ষর </t>
  </si>
  <si>
    <t>নাজেমে তালিমাত</t>
  </si>
  <si>
    <t>মোসা. রোকেয়া খাতুন</t>
  </si>
  <si>
    <t>মোসা. হাসনাত মেঘা</t>
  </si>
  <si>
    <t>মো. হুজায়ফা</t>
  </si>
  <si>
    <t>মো. তামিম ইকবাল</t>
  </si>
  <si>
    <t>মো. রাফিদ মাহফুজ</t>
  </si>
  <si>
    <t>মো. নাইম হাসান জিম</t>
  </si>
  <si>
    <t>মো. ইসমাইল হোসেন</t>
  </si>
  <si>
    <t>মোসা. জেরিন আনজুম</t>
  </si>
  <si>
    <t>মো. শুয়াইব আহমাদ</t>
  </si>
  <si>
    <t>মোসা.  শিমরাহ রহমান</t>
  </si>
  <si>
    <t>মোসা. সুয়াদা</t>
  </si>
  <si>
    <t xml:space="preserve">মো. সামিউল ইসলাম </t>
  </si>
  <si>
    <t>মো.  শাওন মোল্লা</t>
  </si>
  <si>
    <t xml:space="preserve">মো. সম্রাট মোল্লা </t>
  </si>
  <si>
    <t>সমাজ ও ভূগোল</t>
  </si>
  <si>
    <t xml:space="preserve">নাজেমে তালিমাত </t>
  </si>
  <si>
    <t>মো. মাইসারা</t>
  </si>
  <si>
    <t xml:space="preserve">মোসা.আসমা </t>
  </si>
  <si>
    <t xml:space="preserve">মো. সুলাইমান </t>
  </si>
  <si>
    <t xml:space="preserve">মোসা. আমেনা খাতুন </t>
  </si>
  <si>
    <t xml:space="preserve">মো. তানভীর </t>
  </si>
  <si>
    <t>হাদিস</t>
  </si>
  <si>
    <t xml:space="preserve">কালিমা ও মাসয়ালা </t>
  </si>
  <si>
    <t>মো. রিয়ান</t>
  </si>
  <si>
    <t xml:space="preserve">মো. আরাফাত </t>
  </si>
  <si>
    <t>মো. জুবায়ের লাবিব</t>
  </si>
  <si>
    <t>মো. রাফিদ ইসলাম</t>
  </si>
  <si>
    <t xml:space="preserve">মো. কাজি জুবায়ের </t>
  </si>
  <si>
    <t>মো. ওমর আমিন</t>
  </si>
  <si>
    <t>মো. লাবিব হাসান</t>
  </si>
  <si>
    <t>মো. শারাফ</t>
  </si>
  <si>
    <t>মো. সাকিব</t>
  </si>
  <si>
    <t xml:space="preserve">মো. রিফাত </t>
  </si>
  <si>
    <t>মো. লামিম হাসান</t>
  </si>
  <si>
    <t xml:space="preserve">মো. রহমতুল্লাহ </t>
  </si>
  <si>
    <t>মো. ফরহাদ</t>
  </si>
  <si>
    <t>মোসা.  খাদিজা</t>
  </si>
  <si>
    <t>মো. সাজিম</t>
  </si>
  <si>
    <t>মোসা. আয়শা</t>
  </si>
  <si>
    <t xml:space="preserve">মো. শিহাব </t>
  </si>
  <si>
    <t xml:space="preserve">মো. মুরসালিন </t>
  </si>
  <si>
    <t>মোসা. লামইয়া</t>
  </si>
  <si>
    <t>মোসা. রাবেয়া</t>
  </si>
  <si>
    <t>মোসা. তাসনিয়া ফারিন</t>
  </si>
  <si>
    <t>মো. নওশাদ আফরান</t>
  </si>
  <si>
    <t>মো. বেলাল</t>
  </si>
  <si>
    <t>মো. আ. রহমান</t>
  </si>
  <si>
    <t>মো. জুনাইদ</t>
  </si>
  <si>
    <t>মোসা. ফাতেমা</t>
  </si>
  <si>
    <t>মো. আরিয়ান</t>
  </si>
  <si>
    <t>মোসা. হুমায়রা জান্নাত</t>
  </si>
  <si>
    <t>মো. নূর মোহাম্মাদ</t>
  </si>
  <si>
    <t>মোসা. তাবাসসুম</t>
  </si>
  <si>
    <t>মোসা. খাদিজাতুল কুবরা</t>
  </si>
  <si>
    <t>আরবি লেখা</t>
  </si>
  <si>
    <t xml:space="preserve">আরবি লেখা </t>
  </si>
  <si>
    <t xml:space="preserve">মো. হুজায়ফা </t>
  </si>
  <si>
    <t>মো. কবির</t>
  </si>
  <si>
    <t>মো. ওয়াসিফ</t>
  </si>
  <si>
    <t xml:space="preserve">মো. তাহসান </t>
  </si>
  <si>
    <t xml:space="preserve">মোসা. হাফসা </t>
  </si>
  <si>
    <t xml:space="preserve">মো. ইসমাঈল </t>
  </si>
  <si>
    <t>মোসা. সুমাইয়া</t>
  </si>
  <si>
    <t xml:space="preserve">মো. নাঈম </t>
  </si>
  <si>
    <t xml:space="preserve">মো. শাফিন </t>
  </si>
  <si>
    <t xml:space="preserve">মো. তাজিম </t>
  </si>
  <si>
    <t>মো. আব্দুল্লাহ ১</t>
  </si>
  <si>
    <t>মো. আব্দুল্লাহ ২</t>
  </si>
  <si>
    <t>মো. তানভীর সাদাফ</t>
  </si>
  <si>
    <t xml:space="preserve">মোসা. মিসমি খাতুন </t>
  </si>
  <si>
    <t xml:space="preserve">দোয়া ও মাসয়ালা  </t>
  </si>
  <si>
    <t>মো. আবু উবাইদা</t>
  </si>
  <si>
    <t xml:space="preserve">মো. মুরতাজা </t>
  </si>
  <si>
    <t xml:space="preserve">মো. ইজাজ ইসলাম </t>
  </si>
  <si>
    <t>শ্রেণীঃ ২য়                             মোট বিষয় ৭টি- পূর্ণমান ১০০*৭=৭০০</t>
  </si>
  <si>
    <t xml:space="preserve">                               বার্ষিক পরীক্ষার ফলাফল। ১৪৪৭হি. মোতাবেক ২০২৫ঈ. </t>
  </si>
  <si>
    <t>শ্রেণীঃ নার্সারী                             মোট বিষয় ৬টি- পূর্ণমান  ১০০*৬=৬০০</t>
  </si>
  <si>
    <t xml:space="preserve">মো. রুমন আলী </t>
  </si>
  <si>
    <t>মো.  লিখন</t>
  </si>
  <si>
    <t>শ্রেণীঃ প্লে                           মোট বিষয় ৬টি- পূর্ণমান  ১০০*৬=৬০০</t>
  </si>
  <si>
    <t>শ্রেণীঃ ১ম                             মোট বিষয় ৬টি- পূর্ণমান  ১০০*৬=৬০০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</si>
</sst>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5000445]0"/>
  </numFmts>
  <fonts count="47">
    <font>
      <sz val="11"/>
      <color theme="1"/>
      <name val="Calibri"/>
      <family val="2"/>
      <scheme val="minor"/>
    </font>
    <font>
      <sz val="26"/>
      <color theme="1"/>
      <name val="SutonnyOMJ"/>
    </font>
    <font>
      <sz val="16"/>
      <color theme="1"/>
      <name val="SutonnyOMJ"/>
    </font>
    <font>
      <sz val="14"/>
      <color theme="1"/>
      <name val="AdorshoLipi"/>
    </font>
    <font>
      <sz val="14"/>
      <color theme="1"/>
      <name val="SutonnyOMJ"/>
    </font>
    <font>
      <sz val="12"/>
      <color theme="1"/>
      <name val="SutonnyOMJ"/>
    </font>
    <font>
      <sz val="14"/>
      <name val="SutonnyOMJ"/>
    </font>
    <font>
      <sz val="11"/>
      <color theme="1"/>
      <name val="SutonnyOMJ"/>
    </font>
    <font>
      <sz val="18"/>
      <color theme="1"/>
      <name val="SutonnyOMJ"/>
    </font>
    <font>
      <sz val="11"/>
      <color theme="1"/>
      <name val="BenSenHandwriting"/>
    </font>
    <font>
      <sz val="14"/>
      <color theme="1"/>
      <name val="BenSenHandwriting"/>
    </font>
    <font>
      <sz val="16"/>
      <color theme="1"/>
      <name val="BenSenHandwriting"/>
    </font>
    <font>
      <sz val="12"/>
      <color theme="1"/>
      <name val="BenSenHandwriting"/>
    </font>
    <font>
      <sz val="16"/>
      <color theme="1"/>
      <name val="AdorshoLipi"/>
    </font>
    <font>
      <sz val="24"/>
      <color theme="1"/>
      <name val="SutonnyOMJ"/>
    </font>
    <font>
      <b/>
      <sz val="16"/>
      <color theme="1"/>
      <name val="RabeyaSreeMJ"/>
    </font>
    <font>
      <sz val="16"/>
      <name val="SutonnyOMJ"/>
    </font>
    <font>
      <sz val="18"/>
      <color theme="1"/>
      <name val="Bangla"/>
      <family val="4"/>
    </font>
    <font>
      <sz val="26"/>
      <name val="SutonnyOMJ"/>
    </font>
    <font>
      <sz val="14"/>
      <name val="BenSenHandwriting"/>
    </font>
    <font>
      <sz val="14"/>
      <name val="AdorshoLipi"/>
    </font>
    <font>
      <sz val="18"/>
      <name val="SutonnyOMJ"/>
    </font>
    <font>
      <sz val="12"/>
      <name val="SutonnyOMJ"/>
    </font>
    <font>
      <sz val="12"/>
      <name val="BenSenHandwriting"/>
    </font>
    <font>
      <sz val="11"/>
      <name val="Calibri"/>
      <family val="2"/>
      <scheme val="minor"/>
    </font>
    <font>
      <b/>
      <sz val="16"/>
      <name val="RabeyaSreeMJ"/>
    </font>
    <font>
      <sz val="16"/>
      <name val="AdorshoLipi"/>
    </font>
    <font>
      <sz val="11"/>
      <name val="SutonnyOMJ"/>
    </font>
    <font>
      <sz val="11"/>
      <name val="BenSenHandwriting"/>
    </font>
    <font>
      <sz val="12"/>
      <color theme="1"/>
      <name val="Calibri"/>
      <family val="2"/>
      <scheme val="minor"/>
    </font>
    <font>
      <sz val="12"/>
      <color theme="1"/>
      <name val="BenSen"/>
    </font>
    <font>
      <sz val="15"/>
      <color theme="1"/>
      <name val="SutonnyOMJ"/>
    </font>
    <font>
      <sz val="16"/>
      <color theme="1"/>
      <name val="Bangla"/>
      <family val="4"/>
    </font>
    <font>
      <sz val="14"/>
      <color rgb="FFFF0000"/>
      <name val="SutonnyOMJ"/>
    </font>
    <font>
      <sz val="11"/>
      <color theme="1"/>
      <name val="BenSen"/>
    </font>
    <font>
      <sz val="14"/>
      <color theme="1"/>
      <name val="NikoshGrameem"/>
    </font>
    <font>
      <sz val="16"/>
      <name val="NikoshGrameem"/>
    </font>
    <font>
      <sz val="20"/>
      <name val="SutonnyOMJ"/>
    </font>
    <font>
      <sz val="22"/>
      <name val="SutonnyOMJ"/>
    </font>
    <font>
      <sz val="20"/>
      <color theme="1"/>
      <name val="SutonnyOMJ"/>
    </font>
    <font>
      <u/>
      <sz val="16"/>
      <color theme="1"/>
      <name val="BenSenHandwriting"/>
    </font>
    <font>
      <sz val="16"/>
      <color rgb="FF632423"/>
      <name val="BenSenHandwriting"/>
    </font>
    <font>
      <sz val="16"/>
      <color rgb="FF00B050"/>
      <name val="BenSenHandwriting"/>
    </font>
    <font>
      <sz val="16"/>
      <name val="BenSenHandwriting"/>
    </font>
    <font>
      <sz val="13"/>
      <color theme="1"/>
      <name val="BenSenHandwriting"/>
    </font>
    <font>
      <sz val="13"/>
      <name val="BenSenHandwriting"/>
    </font>
    <font>
      <b/>
      <sz val="14"/>
      <name val="JaJaDiMJ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textRotation="90"/>
    </xf>
    <xf numFmtId="0" fontId="6" fillId="0" borderId="1" xfId="0" applyFont="1" applyBorder="1" applyAlignment="1">
      <alignment horizontal="center" textRotation="90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textRotation="90" wrapText="1"/>
    </xf>
    <xf numFmtId="0" fontId="8" fillId="0" borderId="1" xfId="0" applyFont="1" applyBorder="1" applyAlignment="1">
      <alignment horizontal="center" textRotation="90"/>
    </xf>
    <xf numFmtId="0" fontId="9" fillId="0" borderId="0" xfId="0" applyFont="1"/>
    <xf numFmtId="0" fontId="10" fillId="0" borderId="1" xfId="0" applyFont="1" applyBorder="1"/>
    <xf numFmtId="164" fontId="10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9" fillId="0" borderId="1" xfId="0" applyFont="1" applyBorder="1"/>
    <xf numFmtId="0" fontId="0" fillId="0" borderId="1" xfId="0" applyBorder="1"/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textRotation="90" wrapText="1"/>
    </xf>
    <xf numFmtId="0" fontId="16" fillId="0" borderId="1" xfId="0" applyFont="1" applyBorder="1" applyAlignment="1">
      <alignment horizontal="center" textRotation="90"/>
    </xf>
    <xf numFmtId="0" fontId="2" fillId="0" borderId="1" xfId="0" applyFont="1" applyBorder="1" applyAlignment="1">
      <alignment horizontal="center" textRotation="90"/>
    </xf>
    <xf numFmtId="0" fontId="2" fillId="0" borderId="1" xfId="0" applyFont="1" applyBorder="1" applyAlignment="1">
      <alignment horizontal="center"/>
    </xf>
    <xf numFmtId="164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164" fontId="13" fillId="0" borderId="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0" borderId="0" xfId="0" applyFont="1" applyBorder="1"/>
    <xf numFmtId="0" fontId="2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164" fontId="19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0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 vertical="center" textRotation="90"/>
    </xf>
    <xf numFmtId="0" fontId="21" fillId="0" borderId="1" xfId="0" applyFont="1" applyBorder="1" applyAlignment="1">
      <alignment horizontal="center" textRotation="90" wrapText="1"/>
    </xf>
    <xf numFmtId="0" fontId="21" fillId="0" borderId="1" xfId="0" applyFont="1" applyBorder="1" applyAlignment="1">
      <alignment horizontal="center" textRotation="90"/>
    </xf>
    <xf numFmtId="0" fontId="22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Border="1"/>
    <xf numFmtId="0" fontId="2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0" fontId="24" fillId="0" borderId="0" xfId="0" applyFont="1" applyBorder="1"/>
    <xf numFmtId="164" fontId="26" fillId="0" borderId="0" xfId="0" applyNumberFormat="1" applyFont="1" applyBorder="1" applyAlignment="1">
      <alignment horizontal="center" vertical="center"/>
    </xf>
    <xf numFmtId="0" fontId="23" fillId="0" borderId="1" xfId="0" applyFont="1" applyBorder="1"/>
    <xf numFmtId="0" fontId="12" fillId="0" borderId="1" xfId="0" applyFont="1" applyBorder="1"/>
    <xf numFmtId="0" fontId="5" fillId="0" borderId="1" xfId="0" applyFont="1" applyBorder="1" applyAlignment="1">
      <alignment horizontal="center" vertical="center" textRotation="90"/>
    </xf>
    <xf numFmtId="164" fontId="12" fillId="0" borderId="1" xfId="0" applyNumberFormat="1" applyFont="1" applyBorder="1" applyAlignment="1">
      <alignment horizontal="center" vertical="center"/>
    </xf>
    <xf numFmtId="0" fontId="12" fillId="0" borderId="0" xfId="0" applyFont="1" applyBorder="1"/>
    <xf numFmtId="164" fontId="12" fillId="0" borderId="0" xfId="0" applyNumberFormat="1" applyFont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Border="1"/>
    <xf numFmtId="164" fontId="11" fillId="0" borderId="0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 vertical="top"/>
    </xf>
    <xf numFmtId="0" fontId="28" fillId="0" borderId="1" xfId="0" applyFont="1" applyBorder="1" applyAlignment="1">
      <alignment horizontal="left" vertical="center"/>
    </xf>
    <xf numFmtId="0" fontId="23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31" fillId="0" borderId="0" xfId="0" applyFont="1" applyAlignment="1">
      <alignment vertical="center"/>
    </xf>
    <xf numFmtId="0" fontId="28" fillId="0" borderId="1" xfId="0" applyFont="1" applyBorder="1"/>
    <xf numFmtId="0" fontId="2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center" vertical="top"/>
    </xf>
    <xf numFmtId="0" fontId="0" fillId="0" borderId="0" xfId="0" applyBorder="1"/>
    <xf numFmtId="0" fontId="14" fillId="0" borderId="0" xfId="0" applyFont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164" fontId="3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29" fillId="0" borderId="0" xfId="0" applyFont="1" applyBorder="1"/>
    <xf numFmtId="0" fontId="11" fillId="0" borderId="0" xfId="0" applyFont="1" applyFill="1" applyBorder="1" applyAlignment="1">
      <alignment vertical="center"/>
    </xf>
    <xf numFmtId="0" fontId="33" fillId="0" borderId="0" xfId="0" applyFont="1" applyBorder="1" applyAlignment="1">
      <alignment horizontal="center" vertical="center"/>
    </xf>
    <xf numFmtId="164" fontId="19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textRotation="90" wrapText="1"/>
    </xf>
    <xf numFmtId="0" fontId="38" fillId="0" borderId="1" xfId="0" applyFont="1" applyBorder="1" applyAlignment="1">
      <alignment horizontal="center" textRotation="90"/>
    </xf>
    <xf numFmtId="0" fontId="10" fillId="0" borderId="4" xfId="0" applyFont="1" applyBorder="1" applyAlignment="1">
      <alignment vertical="center"/>
    </xf>
    <xf numFmtId="164" fontId="36" fillId="0" borderId="0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textRotation="90" wrapText="1"/>
    </xf>
    <xf numFmtId="0" fontId="37" fillId="0" borderId="1" xfId="0" applyFont="1" applyBorder="1" applyAlignment="1">
      <alignment horizontal="center" textRotation="90"/>
    </xf>
    <xf numFmtId="0" fontId="2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left"/>
    </xf>
    <xf numFmtId="164" fontId="35" fillId="0" borderId="0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4" fontId="16" fillId="0" borderId="0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vertical="center"/>
    </xf>
    <xf numFmtId="0" fontId="45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16" fillId="0" borderId="0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4" fillId="0" borderId="6" xfId="0" applyFont="1" applyBorder="1"/>
    <xf numFmtId="0" fontId="19" fillId="0" borderId="4" xfId="0" applyFont="1" applyFill="1" applyBorder="1" applyAlignment="1">
      <alignment horizontal="left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419099</xdr:colOff>
      <xdr:row>1</xdr:row>
      <xdr:rowOff>247650</xdr:rowOff>
    </xdr:to>
    <xdr:pic>
      <xdr:nvPicPr>
        <xdr:cNvPr id="6" name="Picture 5" descr="F:\Murtaza\বিবিধ\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1524" cy="666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190500</xdr:colOff>
      <xdr:row>1</xdr:row>
      <xdr:rowOff>19051</xdr:rowOff>
    </xdr:from>
    <xdr:to>
      <xdr:col>13</xdr:col>
      <xdr:colOff>514351</xdr:colOff>
      <xdr:row>3</xdr:row>
      <xdr:rowOff>619125</xdr:rowOff>
    </xdr:to>
    <xdr:sp macro="" textlink="">
      <xdr:nvSpPr>
        <xdr:cNvPr id="2" name="TextBox 1"/>
        <xdr:cNvSpPr txBox="1"/>
      </xdr:nvSpPr>
      <xdr:spPr>
        <a:xfrm>
          <a:off x="5181600" y="438151"/>
          <a:ext cx="1590676" cy="1152524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400" u="sng" baseline="0">
              <a:latin typeface="SutonnyOMJ" pitchFamily="2" charset="0"/>
              <a:cs typeface="SutonnyOMJ" pitchFamily="2" charset="0"/>
            </a:rPr>
            <a:t>বিভাগ বিন্যাস  </a:t>
          </a:r>
        </a:p>
        <a:p>
          <a:r>
            <a:rPr lang="bn-IN" sz="1400">
              <a:latin typeface="SutonnyOMJ" pitchFamily="2" charset="0"/>
              <a:cs typeface="SutonnyOMJ" pitchFamily="2" charset="0"/>
            </a:rPr>
            <a:t>মুমতাজ =   ৮০-১০০%</a:t>
          </a:r>
        </a:p>
        <a:p>
          <a:r>
            <a:rPr lang="bn-IN" sz="1400">
              <a:latin typeface="SutonnyOMJ" pitchFamily="2" charset="0"/>
              <a:cs typeface="SutonnyOMJ" pitchFamily="2" charset="0"/>
            </a:rPr>
            <a:t>জা.</a:t>
          </a:r>
          <a:r>
            <a:rPr lang="bn-IN" sz="1400" baseline="0">
              <a:latin typeface="SutonnyOMJ" pitchFamily="2" charset="0"/>
              <a:cs typeface="SutonnyOMJ" pitchFamily="2" charset="0"/>
            </a:rPr>
            <a:t> জিদ্দান = ৬৫-৭৯%</a:t>
          </a:r>
        </a:p>
        <a:p>
          <a:r>
            <a:rPr lang="bn-IN" sz="1400" baseline="0">
              <a:latin typeface="SutonnyOMJ" pitchFamily="2" charset="0"/>
              <a:cs typeface="SutonnyOMJ" pitchFamily="2" charset="0"/>
            </a:rPr>
            <a:t>জায়্যিদ =     ৫০- ৬৪%</a:t>
          </a:r>
        </a:p>
        <a:p>
          <a:r>
            <a:rPr lang="bn-IN" sz="1400" baseline="0">
              <a:latin typeface="SutonnyOMJ" pitchFamily="2" charset="0"/>
              <a:cs typeface="SutonnyOMJ" pitchFamily="2" charset="0"/>
            </a:rPr>
            <a:t>মাকবুল =    ৩</a:t>
          </a:r>
          <a:r>
            <a:rPr lang="en-US" sz="1400" baseline="0">
              <a:latin typeface="SutonnyOMJ" pitchFamily="2" charset="0"/>
              <a:cs typeface="SutonnyOMJ" pitchFamily="2" charset="0"/>
            </a:rPr>
            <a:t>৩</a:t>
          </a:r>
          <a:r>
            <a:rPr lang="bn-IN" sz="1400" baseline="0">
              <a:latin typeface="SutonnyOMJ" pitchFamily="2" charset="0"/>
              <a:cs typeface="SutonnyOMJ" pitchFamily="2" charset="0"/>
            </a:rPr>
            <a:t> - ৪৯%</a:t>
          </a:r>
          <a:endParaRPr lang="en-US" sz="1400">
            <a:latin typeface="SutonnyOMJ" pitchFamily="2" charset="0"/>
            <a:cs typeface="SutonnyOMJ" pitchFamily="2" charset="0"/>
          </a:endParaRPr>
        </a:p>
      </xdr:txBody>
    </xdr:sp>
    <xdr:clientData/>
  </xdr:twoCellAnchor>
  <xdr:twoCellAnchor editAs="oneCell">
    <xdr:from>
      <xdr:col>10</xdr:col>
      <xdr:colOff>619125</xdr:colOff>
      <xdr:row>18</xdr:row>
      <xdr:rowOff>279345</xdr:rowOff>
    </xdr:from>
    <xdr:to>
      <xdr:col>12</xdr:col>
      <xdr:colOff>85725</xdr:colOff>
      <xdr:row>19</xdr:row>
      <xdr:rowOff>209550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2525" y="6165795"/>
          <a:ext cx="733425" cy="3016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0</xdr:row>
      <xdr:rowOff>533399</xdr:rowOff>
    </xdr:from>
    <xdr:to>
      <xdr:col>12</xdr:col>
      <xdr:colOff>409575</xdr:colOff>
      <xdr:row>3</xdr:row>
      <xdr:rowOff>561975</xdr:rowOff>
    </xdr:to>
    <xdr:sp macro="" textlink="">
      <xdr:nvSpPr>
        <xdr:cNvPr id="6" name="TextBox 5"/>
        <xdr:cNvSpPr txBox="1"/>
      </xdr:nvSpPr>
      <xdr:spPr>
        <a:xfrm>
          <a:off x="5276850" y="533399"/>
          <a:ext cx="1628775" cy="1171576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400" u="sng" baseline="0">
              <a:latin typeface="SutonnyOMJ" pitchFamily="2" charset="0"/>
              <a:cs typeface="SutonnyOMJ" pitchFamily="2" charset="0"/>
            </a:rPr>
            <a:t>বিভাগ বিন্যাস  </a:t>
          </a:r>
        </a:p>
        <a:p>
          <a:r>
            <a:rPr lang="bn-IN" sz="1400">
              <a:latin typeface="SutonnyOMJ" pitchFamily="2" charset="0"/>
              <a:cs typeface="SutonnyOMJ" pitchFamily="2" charset="0"/>
            </a:rPr>
            <a:t>মুমতাজ =   ৮০-১০০%</a:t>
          </a:r>
        </a:p>
        <a:p>
          <a:r>
            <a:rPr lang="bn-IN" sz="1400">
              <a:latin typeface="SutonnyOMJ" pitchFamily="2" charset="0"/>
              <a:cs typeface="SutonnyOMJ" pitchFamily="2" charset="0"/>
            </a:rPr>
            <a:t>জা.</a:t>
          </a:r>
          <a:r>
            <a:rPr lang="bn-IN" sz="1400" baseline="0">
              <a:latin typeface="SutonnyOMJ" pitchFamily="2" charset="0"/>
              <a:cs typeface="SutonnyOMJ" pitchFamily="2" charset="0"/>
            </a:rPr>
            <a:t> জিদ্দান = ৬৫-৭৯%</a:t>
          </a:r>
        </a:p>
        <a:p>
          <a:r>
            <a:rPr lang="bn-IN" sz="1400" baseline="0">
              <a:latin typeface="SutonnyOMJ" pitchFamily="2" charset="0"/>
              <a:cs typeface="SutonnyOMJ" pitchFamily="2" charset="0"/>
            </a:rPr>
            <a:t>জায়্যিদ =     ৫০- ৬৪%</a:t>
          </a:r>
        </a:p>
        <a:p>
          <a:r>
            <a:rPr lang="bn-IN" sz="1400" baseline="0">
              <a:latin typeface="SutonnyOMJ" pitchFamily="2" charset="0"/>
              <a:cs typeface="SutonnyOMJ" pitchFamily="2" charset="0"/>
            </a:rPr>
            <a:t>মাকবুল =    ৩</a:t>
          </a:r>
          <a:r>
            <a:rPr lang="en-US" sz="1400" baseline="0">
              <a:latin typeface="SutonnyOMJ" pitchFamily="2" charset="0"/>
              <a:cs typeface="SutonnyOMJ" pitchFamily="2" charset="0"/>
            </a:rPr>
            <a:t>৩</a:t>
          </a:r>
          <a:r>
            <a:rPr lang="bn-IN" sz="1400" baseline="0">
              <a:latin typeface="SutonnyOMJ" pitchFamily="2" charset="0"/>
              <a:cs typeface="SutonnyOMJ" pitchFamily="2" charset="0"/>
            </a:rPr>
            <a:t> - ৪৯%</a:t>
          </a:r>
          <a:endParaRPr lang="en-US" sz="1400">
            <a:latin typeface="SutonnyOMJ" pitchFamily="2" charset="0"/>
            <a:cs typeface="SutonnyOMJ" pitchFamily="2" charset="0"/>
          </a:endParaRPr>
        </a:p>
      </xdr:txBody>
    </xdr:sp>
    <xdr:clientData/>
  </xdr:twoCellAnchor>
  <xdr:twoCellAnchor>
    <xdr:from>
      <xdr:col>10</xdr:col>
      <xdr:colOff>171450</xdr:colOff>
      <xdr:row>33</xdr:row>
      <xdr:rowOff>491219</xdr:rowOff>
    </xdr:from>
    <xdr:to>
      <xdr:col>12</xdr:col>
      <xdr:colOff>342900</xdr:colOff>
      <xdr:row>36</xdr:row>
      <xdr:rowOff>542925</xdr:rowOff>
    </xdr:to>
    <xdr:sp macro="" textlink="">
      <xdr:nvSpPr>
        <xdr:cNvPr id="9" name="TextBox 8"/>
        <xdr:cNvSpPr txBox="1"/>
      </xdr:nvSpPr>
      <xdr:spPr>
        <a:xfrm>
          <a:off x="5172075" y="10463894"/>
          <a:ext cx="1666875" cy="1147081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400" u="sng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বিভাগ বিন্যাস  </a:t>
          </a:r>
        </a:p>
        <a:p>
          <a:r>
            <a:rPr lang="bn-IN" sz="140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মুমতাজ =   ৮০-১০০%</a:t>
          </a:r>
        </a:p>
        <a:p>
          <a:r>
            <a:rPr lang="bn-IN" sz="140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জা.</a:t>
          </a:r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 জিদ্দান = ৬৫-৭৯%</a:t>
          </a:r>
        </a:p>
        <a:p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জায়্যিদ =     ৫০- ৬৪%</a:t>
          </a:r>
        </a:p>
        <a:p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মাকবুল =    ৩</a:t>
          </a:r>
          <a:r>
            <a:rPr lang="en-US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৩</a:t>
          </a:r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 - ৪৯%</a:t>
          </a:r>
          <a:endParaRPr lang="en-US" sz="1400">
            <a:solidFill>
              <a:sysClr val="windowText" lastClr="000000"/>
            </a:solidFill>
            <a:latin typeface="SutonnyOMJ" pitchFamily="2" charset="0"/>
            <a:cs typeface="SutonnyOMJ" pitchFamily="2" charset="0"/>
          </a:endParaRPr>
        </a:p>
      </xdr:txBody>
    </xdr:sp>
    <xdr:clientData/>
  </xdr:twoCellAnchor>
  <xdr:twoCellAnchor>
    <xdr:from>
      <xdr:col>10</xdr:col>
      <xdr:colOff>247651</xdr:colOff>
      <xdr:row>72</xdr:row>
      <xdr:rowOff>14968</xdr:rowOff>
    </xdr:from>
    <xdr:to>
      <xdr:col>12</xdr:col>
      <xdr:colOff>428625</xdr:colOff>
      <xdr:row>74</xdr:row>
      <xdr:rowOff>581025</xdr:rowOff>
    </xdr:to>
    <xdr:sp macro="" textlink="">
      <xdr:nvSpPr>
        <xdr:cNvPr id="13" name="TextBox 12"/>
        <xdr:cNvSpPr txBox="1"/>
      </xdr:nvSpPr>
      <xdr:spPr>
        <a:xfrm>
          <a:off x="5248276" y="20684218"/>
          <a:ext cx="1676399" cy="1156607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400" u="sng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বিভাগ বিন্যাস  </a:t>
          </a:r>
        </a:p>
        <a:p>
          <a:r>
            <a:rPr lang="bn-IN" sz="140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মুমতাজ =   ৮০-১০০%</a:t>
          </a:r>
        </a:p>
        <a:p>
          <a:r>
            <a:rPr lang="bn-IN" sz="140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জা.</a:t>
          </a:r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 জিদ্দান = ৬৫-৭৯%</a:t>
          </a:r>
        </a:p>
        <a:p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জায়্যিদ =     ৫০- ৬৪%</a:t>
          </a:r>
        </a:p>
        <a:p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মাকবুল =    ৩</a:t>
          </a:r>
          <a:r>
            <a:rPr lang="en-US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৩</a:t>
          </a:r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 - ৪৯%</a:t>
          </a:r>
          <a:endParaRPr lang="en-US" sz="1400">
            <a:solidFill>
              <a:sysClr val="windowText" lastClr="000000"/>
            </a:solidFill>
            <a:latin typeface="SutonnyOMJ" pitchFamily="2" charset="0"/>
            <a:cs typeface="SutonnyOMJ" pitchFamily="2" charset="0"/>
          </a:endParaRPr>
        </a:p>
      </xdr:txBody>
    </xdr:sp>
    <xdr:clientData/>
  </xdr:twoCellAnchor>
  <xdr:twoCellAnchor editAs="oneCell">
    <xdr:from>
      <xdr:col>9</xdr:col>
      <xdr:colOff>438150</xdr:colOff>
      <xdr:row>93</xdr:row>
      <xdr:rowOff>28575</xdr:rowOff>
    </xdr:from>
    <xdr:to>
      <xdr:col>11</xdr:col>
      <xdr:colOff>242428</xdr:colOff>
      <xdr:row>94</xdr:row>
      <xdr:rowOff>142875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450" y="29927550"/>
          <a:ext cx="1166353" cy="3048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69</xdr:row>
      <xdr:rowOff>203145</xdr:rowOff>
    </xdr:from>
    <xdr:to>
      <xdr:col>11</xdr:col>
      <xdr:colOff>628650</xdr:colOff>
      <xdr:row>70</xdr:row>
      <xdr:rowOff>182707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5325" y="7080195"/>
          <a:ext cx="628650" cy="2367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28</xdr:row>
      <xdr:rowOff>203145</xdr:rowOff>
    </xdr:from>
    <xdr:to>
      <xdr:col>11</xdr:col>
      <xdr:colOff>628650</xdr:colOff>
      <xdr:row>29</xdr:row>
      <xdr:rowOff>173182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6975420"/>
          <a:ext cx="628650" cy="2367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419099</xdr:colOff>
      <xdr:row>1</xdr:row>
      <xdr:rowOff>247650</xdr:rowOff>
    </xdr:to>
    <xdr:pic>
      <xdr:nvPicPr>
        <xdr:cNvPr id="12" name="Picture 11" descr="F:\Murtaza\বিবিধ\logo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1524" cy="666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33</xdr:row>
      <xdr:rowOff>57150</xdr:rowOff>
    </xdr:from>
    <xdr:to>
      <xdr:col>1</xdr:col>
      <xdr:colOff>419099</xdr:colOff>
      <xdr:row>35</xdr:row>
      <xdr:rowOff>28575</xdr:rowOff>
    </xdr:to>
    <xdr:pic>
      <xdr:nvPicPr>
        <xdr:cNvPr id="15" name="Picture 14" descr="F:\Murtaza\বিবিধ\logo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9825"/>
          <a:ext cx="857249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71</xdr:row>
      <xdr:rowOff>19050</xdr:rowOff>
    </xdr:from>
    <xdr:to>
      <xdr:col>1</xdr:col>
      <xdr:colOff>333375</xdr:colOff>
      <xdr:row>72</xdr:row>
      <xdr:rowOff>152400</xdr:rowOff>
    </xdr:to>
    <xdr:pic>
      <xdr:nvPicPr>
        <xdr:cNvPr id="17" name="Picture 16" descr="F:\Murtaza\বিবিধ\logo.jpg"/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40625"/>
          <a:ext cx="771525" cy="695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view="pageLayout" zoomScaleNormal="100" workbookViewId="0">
      <selection activeCell="L21" sqref="L21"/>
    </sheetView>
  </sheetViews>
  <sheetFormatPr defaultColWidth="9.140625" defaultRowHeight="15"/>
  <cols>
    <col min="1" max="1" width="5" customWidth="1"/>
    <col min="3" max="3" width="10.42578125" customWidth="1"/>
    <col min="4" max="10" width="5.28515625" customWidth="1"/>
    <col min="12" max="12" width="8.7109375" customWidth="1"/>
    <col min="14" max="14" width="8.140625" customWidth="1"/>
  </cols>
  <sheetData>
    <row r="1" spans="1:14" ht="33">
      <c r="A1" s="16" t="s">
        <v>22</v>
      </c>
      <c r="B1" s="26"/>
      <c r="C1" s="32"/>
      <c r="D1" s="25"/>
      <c r="E1" s="25"/>
      <c r="F1" s="25"/>
      <c r="G1" s="25"/>
      <c r="H1" s="25"/>
      <c r="I1" s="25"/>
      <c r="J1" s="25"/>
      <c r="K1" s="25"/>
      <c r="L1" s="27"/>
      <c r="M1" s="30"/>
      <c r="N1" s="28"/>
    </row>
    <row r="2" spans="1:14" ht="21.75">
      <c r="A2" s="69" t="s">
        <v>100</v>
      </c>
      <c r="B2" s="26"/>
      <c r="C2" s="32"/>
      <c r="D2" s="25"/>
      <c r="E2" s="25"/>
      <c r="F2" s="25"/>
      <c r="G2" s="25"/>
      <c r="H2" s="25"/>
      <c r="I2" s="25"/>
      <c r="J2" s="25"/>
      <c r="K2" s="25"/>
      <c r="L2" s="27"/>
      <c r="M2" s="30"/>
      <c r="N2" s="28"/>
    </row>
    <row r="3" spans="1:14" ht="21.75">
      <c r="A3" s="122" t="s">
        <v>99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89.25">
      <c r="A4" s="56" t="s">
        <v>0</v>
      </c>
      <c r="B4" s="116" t="s">
        <v>1</v>
      </c>
      <c r="C4" s="117"/>
      <c r="D4" s="4" t="s">
        <v>79</v>
      </c>
      <c r="E4" s="4" t="s">
        <v>95</v>
      </c>
      <c r="F4" s="4" t="s">
        <v>46</v>
      </c>
      <c r="G4" s="8" t="s">
        <v>4</v>
      </c>
      <c r="H4" s="9" t="s">
        <v>5</v>
      </c>
      <c r="I4" s="4" t="s">
        <v>39</v>
      </c>
      <c r="J4" s="9" t="s">
        <v>6</v>
      </c>
      <c r="K4" s="91" t="s">
        <v>7</v>
      </c>
      <c r="L4" s="92" t="s">
        <v>2</v>
      </c>
      <c r="M4" s="4" t="s">
        <v>3</v>
      </c>
      <c r="N4" s="6" t="s">
        <v>8</v>
      </c>
    </row>
    <row r="5" spans="1:14" ht="21.75">
      <c r="A5" s="57">
        <v>1</v>
      </c>
      <c r="B5" s="20" t="s">
        <v>11</v>
      </c>
      <c r="C5" s="55"/>
      <c r="D5" s="96">
        <v>94</v>
      </c>
      <c r="E5" s="96">
        <v>100</v>
      </c>
      <c r="F5" s="96">
        <v>100</v>
      </c>
      <c r="G5" s="96">
        <v>100</v>
      </c>
      <c r="H5" s="96">
        <v>100</v>
      </c>
      <c r="I5" s="96">
        <v>100</v>
      </c>
      <c r="J5" s="96">
        <v>100</v>
      </c>
      <c r="K5" s="96">
        <f t="shared" ref="K5:K17" si="0">J5+I5+H5+G5+F5+E5+D5</f>
        <v>694</v>
      </c>
      <c r="L5" s="17">
        <f t="shared" ref="L5:L17" si="1">K5/7</f>
        <v>99.142857142857139</v>
      </c>
      <c r="M5" s="72" t="str">
        <f>LOOKUP(L5,{0,33,50,65,80},{"রাসিব","মাকবুল","জায়্যিদ","জা. জিদ্দান","মুমতাজ"})</f>
        <v>মুমতাজ</v>
      </c>
      <c r="N5" s="123">
        <v>1</v>
      </c>
    </row>
    <row r="6" spans="1:14" ht="21.75">
      <c r="A6" s="57">
        <v>2</v>
      </c>
      <c r="B6" s="20" t="s">
        <v>10</v>
      </c>
      <c r="C6" s="55"/>
      <c r="D6" s="96">
        <v>78</v>
      </c>
      <c r="E6" s="96">
        <v>100</v>
      </c>
      <c r="F6" s="96">
        <v>97</v>
      </c>
      <c r="G6" s="96">
        <v>98</v>
      </c>
      <c r="H6" s="96">
        <v>100</v>
      </c>
      <c r="I6" s="96">
        <v>100</v>
      </c>
      <c r="J6" s="96">
        <v>90</v>
      </c>
      <c r="K6" s="96">
        <f t="shared" si="0"/>
        <v>663</v>
      </c>
      <c r="L6" s="17">
        <f t="shared" si="1"/>
        <v>94.714285714285708</v>
      </c>
      <c r="M6" s="72" t="str">
        <f>LOOKUP(L6,{0,33,50,65,80},{"রাসিব","মাকবুল","জায়্যিদ","জা. জিদ্দান","মুমতাজ"})</f>
        <v>মুমতাজ</v>
      </c>
      <c r="N6" s="123">
        <v>2</v>
      </c>
    </row>
    <row r="7" spans="1:14" ht="21.75">
      <c r="A7" s="57">
        <v>3</v>
      </c>
      <c r="B7" s="20" t="s">
        <v>94</v>
      </c>
      <c r="C7" s="55"/>
      <c r="D7" s="96">
        <v>94</v>
      </c>
      <c r="E7" s="96">
        <v>85</v>
      </c>
      <c r="F7" s="96">
        <v>100</v>
      </c>
      <c r="G7" s="96">
        <v>100</v>
      </c>
      <c r="H7" s="96">
        <v>100</v>
      </c>
      <c r="I7" s="96">
        <v>98</v>
      </c>
      <c r="J7" s="96">
        <v>70</v>
      </c>
      <c r="K7" s="96">
        <f t="shared" si="0"/>
        <v>647</v>
      </c>
      <c r="L7" s="17">
        <f t="shared" si="1"/>
        <v>92.428571428571431</v>
      </c>
      <c r="M7" s="72" t="str">
        <f>LOOKUP(L7,{0,33,50,65,80},{"রাসিব","মাকবুল","জায়্যিদ","জা. জিদ্দান","মুমতাজ"})</f>
        <v>মুমতাজ</v>
      </c>
      <c r="N7" s="123">
        <v>3</v>
      </c>
    </row>
    <row r="8" spans="1:14" ht="21.75">
      <c r="A8" s="57">
        <v>4</v>
      </c>
      <c r="B8" s="29" t="s">
        <v>9</v>
      </c>
      <c r="C8" s="58"/>
      <c r="D8" s="96">
        <v>65</v>
      </c>
      <c r="E8" s="96">
        <v>99</v>
      </c>
      <c r="F8" s="96">
        <v>100</v>
      </c>
      <c r="G8" s="96">
        <v>100</v>
      </c>
      <c r="H8" s="96">
        <v>100</v>
      </c>
      <c r="I8" s="96">
        <v>100</v>
      </c>
      <c r="J8" s="96">
        <v>80</v>
      </c>
      <c r="K8" s="96">
        <f t="shared" si="0"/>
        <v>644</v>
      </c>
      <c r="L8" s="17">
        <f t="shared" si="1"/>
        <v>92</v>
      </c>
      <c r="M8" s="72" t="str">
        <f>LOOKUP(L8,{0,33,50,65,80},{"রাসিব","মাকবুল","জায়্যিদ","জা. জিদ্দান","মুমতাজ"})</f>
        <v>মুমতাজ</v>
      </c>
      <c r="N8" s="123">
        <v>4</v>
      </c>
    </row>
    <row r="9" spans="1:14" ht="21.75">
      <c r="A9" s="57">
        <v>5</v>
      </c>
      <c r="B9" s="31" t="s">
        <v>26</v>
      </c>
      <c r="C9" s="55"/>
      <c r="D9" s="96">
        <v>94</v>
      </c>
      <c r="E9" s="96">
        <v>80</v>
      </c>
      <c r="F9" s="96">
        <v>90</v>
      </c>
      <c r="G9" s="96">
        <v>100</v>
      </c>
      <c r="H9" s="96">
        <v>99</v>
      </c>
      <c r="I9" s="96">
        <v>96</v>
      </c>
      <c r="J9" s="96">
        <v>80</v>
      </c>
      <c r="K9" s="96">
        <f t="shared" si="0"/>
        <v>639</v>
      </c>
      <c r="L9" s="17">
        <f t="shared" si="1"/>
        <v>91.285714285714292</v>
      </c>
      <c r="M9" s="72" t="str">
        <f>LOOKUP(L9,{0,33,50,65,80},{"রাসিব","মাকবুল","জায়্যিদ","জা. জিদ্দান","মুমতাজ"})</f>
        <v>মুমতাজ</v>
      </c>
      <c r="N9" s="123">
        <v>5</v>
      </c>
    </row>
    <row r="10" spans="1:14" ht="21.75">
      <c r="A10" s="57">
        <v>6</v>
      </c>
      <c r="B10" s="20" t="s">
        <v>98</v>
      </c>
      <c r="C10" s="55"/>
      <c r="D10" s="96">
        <v>75</v>
      </c>
      <c r="E10" s="96">
        <v>92</v>
      </c>
      <c r="F10" s="96">
        <v>100</v>
      </c>
      <c r="G10" s="96">
        <v>100</v>
      </c>
      <c r="H10" s="96">
        <v>100</v>
      </c>
      <c r="I10" s="96">
        <v>82</v>
      </c>
      <c r="J10" s="96">
        <v>85</v>
      </c>
      <c r="K10" s="96">
        <f t="shared" si="0"/>
        <v>634</v>
      </c>
      <c r="L10" s="17">
        <f t="shared" si="1"/>
        <v>90.571428571428569</v>
      </c>
      <c r="M10" s="72" t="str">
        <f>LOOKUP(L10,{0,33,50,65,80},{"রাসিব","মাকবুল","জায়্যিদ","জা. জিদ্দান","মুমতাজ"})</f>
        <v>মুমতাজ</v>
      </c>
      <c r="N10" s="123">
        <v>6</v>
      </c>
    </row>
    <row r="11" spans="1:14" ht="21.75">
      <c r="A11" s="57">
        <v>7</v>
      </c>
      <c r="B11" s="20" t="s">
        <v>12</v>
      </c>
      <c r="C11" s="55"/>
      <c r="D11" s="96">
        <v>74</v>
      </c>
      <c r="E11" s="96">
        <v>95</v>
      </c>
      <c r="F11" s="96">
        <v>90</v>
      </c>
      <c r="G11" s="96">
        <v>97</v>
      </c>
      <c r="H11" s="96">
        <v>94</v>
      </c>
      <c r="I11" s="96">
        <v>98</v>
      </c>
      <c r="J11" s="96">
        <v>71</v>
      </c>
      <c r="K11" s="96">
        <f t="shared" si="0"/>
        <v>619</v>
      </c>
      <c r="L11" s="17">
        <f t="shared" si="1"/>
        <v>88.428571428571431</v>
      </c>
      <c r="M11" s="72" t="str">
        <f>LOOKUP(L11,{0,33,50,65,80},{"রাসিব","মাকবুল","জায়্যিদ","জা. জিদ্দান","মুমতাজ"})</f>
        <v>মুমতাজ</v>
      </c>
      <c r="N11" s="123">
        <v>7</v>
      </c>
    </row>
    <row r="12" spans="1:14" ht="21.75">
      <c r="A12" s="57">
        <v>8</v>
      </c>
      <c r="B12" s="20" t="s">
        <v>84</v>
      </c>
      <c r="C12" s="55"/>
      <c r="D12" s="96">
        <v>64</v>
      </c>
      <c r="E12" s="96">
        <v>85</v>
      </c>
      <c r="F12" s="96">
        <v>100</v>
      </c>
      <c r="G12" s="96">
        <v>99</v>
      </c>
      <c r="H12" s="96">
        <v>100</v>
      </c>
      <c r="I12" s="96">
        <v>83</v>
      </c>
      <c r="J12" s="96">
        <v>62</v>
      </c>
      <c r="K12" s="96">
        <f t="shared" si="0"/>
        <v>593</v>
      </c>
      <c r="L12" s="17">
        <f t="shared" si="1"/>
        <v>84.714285714285708</v>
      </c>
      <c r="M12" s="72" t="str">
        <f>LOOKUP(L12,{0,33,50,65,80},{"রাসিব","মাকবুল","জায়্যিদ","জা. জিদ্দান","মুমতাজ"})</f>
        <v>মুমতাজ</v>
      </c>
      <c r="N12" s="123">
        <v>8</v>
      </c>
    </row>
    <row r="13" spans="1:14" ht="21.75">
      <c r="A13" s="57">
        <v>9</v>
      </c>
      <c r="B13" s="31" t="s">
        <v>41</v>
      </c>
      <c r="C13" s="55"/>
      <c r="D13" s="96">
        <v>66</v>
      </c>
      <c r="E13" s="96">
        <v>75</v>
      </c>
      <c r="F13" s="96">
        <v>85</v>
      </c>
      <c r="G13" s="96">
        <v>91</v>
      </c>
      <c r="H13" s="96">
        <v>96</v>
      </c>
      <c r="I13" s="96">
        <v>85</v>
      </c>
      <c r="J13" s="96">
        <v>75</v>
      </c>
      <c r="K13" s="96">
        <f t="shared" si="0"/>
        <v>573</v>
      </c>
      <c r="L13" s="17">
        <f t="shared" si="1"/>
        <v>81.857142857142861</v>
      </c>
      <c r="M13" s="72" t="str">
        <f>LOOKUP(L13,{0,33,50,65,80},{"রাসিব","মাকবুল","জায়্যিদ","জা. জিদ্দান","মুমতাজ"})</f>
        <v>মুমতাজ</v>
      </c>
      <c r="N13" s="123">
        <v>9</v>
      </c>
    </row>
    <row r="14" spans="1:14" ht="21.75">
      <c r="A14" s="57">
        <v>10</v>
      </c>
      <c r="B14" s="31" t="s">
        <v>25</v>
      </c>
      <c r="C14" s="55"/>
      <c r="D14" s="96">
        <v>57</v>
      </c>
      <c r="E14" s="96">
        <v>60</v>
      </c>
      <c r="F14" s="96">
        <v>100</v>
      </c>
      <c r="G14" s="96">
        <v>87</v>
      </c>
      <c r="H14" s="96">
        <v>100</v>
      </c>
      <c r="I14" s="96">
        <v>76</v>
      </c>
      <c r="J14" s="96">
        <v>90</v>
      </c>
      <c r="K14" s="96">
        <f t="shared" si="0"/>
        <v>570</v>
      </c>
      <c r="L14" s="17">
        <f t="shared" si="1"/>
        <v>81.428571428571431</v>
      </c>
      <c r="M14" s="72" t="str">
        <f>LOOKUP(L14,{0,33,50,65,80},{"রাসিব","মাকবুল","জায়্যিদ","জা. জিদ্দান","মুমতাজ"})</f>
        <v>মুমতাজ</v>
      </c>
      <c r="N14" s="123">
        <v>10</v>
      </c>
    </row>
    <row r="15" spans="1:14" ht="21.75">
      <c r="A15" s="57">
        <v>11</v>
      </c>
      <c r="B15" s="89" t="s">
        <v>13</v>
      </c>
      <c r="C15" s="55"/>
      <c r="D15" s="96">
        <v>59</v>
      </c>
      <c r="E15" s="96">
        <v>75</v>
      </c>
      <c r="F15" s="96">
        <v>95</v>
      </c>
      <c r="G15" s="96">
        <v>85</v>
      </c>
      <c r="H15" s="96">
        <v>97</v>
      </c>
      <c r="I15" s="96">
        <v>84</v>
      </c>
      <c r="J15" s="96">
        <v>68</v>
      </c>
      <c r="K15" s="96">
        <f t="shared" si="0"/>
        <v>563</v>
      </c>
      <c r="L15" s="17">
        <f t="shared" si="1"/>
        <v>80.428571428571431</v>
      </c>
      <c r="M15" s="72" t="str">
        <f>LOOKUP(L15,{0,33,50,65,80},{"রাসিব","মাকবুল","জায়্যিদ","জা. জিদ্দান","মুমতাজ"})</f>
        <v>মুমতাজ</v>
      </c>
      <c r="N15" s="123">
        <v>11</v>
      </c>
    </row>
    <row r="16" spans="1:14" ht="21.75">
      <c r="A16" s="57">
        <v>12</v>
      </c>
      <c r="B16" s="31" t="s">
        <v>48</v>
      </c>
      <c r="C16" s="55"/>
      <c r="D16" s="96">
        <v>25</v>
      </c>
      <c r="E16" s="96">
        <v>60</v>
      </c>
      <c r="F16" s="96">
        <v>40</v>
      </c>
      <c r="G16" s="96">
        <v>98</v>
      </c>
      <c r="H16" s="96">
        <v>75</v>
      </c>
      <c r="I16" s="96">
        <v>68</v>
      </c>
      <c r="J16" s="96">
        <v>40</v>
      </c>
      <c r="K16" s="96">
        <f t="shared" si="0"/>
        <v>406</v>
      </c>
      <c r="L16" s="17">
        <f t="shared" si="1"/>
        <v>58</v>
      </c>
      <c r="M16" s="72" t="str">
        <f>LOOKUP(L16,{0,33,50,65,80},{"রাসিব","মাকবুল","জায়্যিদ","জা. জিদ্দান","মুমতাজ"})</f>
        <v>জায়্যিদ</v>
      </c>
      <c r="N16" s="123">
        <v>12</v>
      </c>
    </row>
    <row r="17" spans="1:16" ht="21.75">
      <c r="A17" s="57">
        <v>13</v>
      </c>
      <c r="B17" s="20" t="s">
        <v>14</v>
      </c>
      <c r="C17" s="55"/>
      <c r="D17" s="96">
        <v>2</v>
      </c>
      <c r="E17" s="96">
        <v>50</v>
      </c>
      <c r="F17" s="96">
        <v>45</v>
      </c>
      <c r="G17" s="96">
        <v>55</v>
      </c>
      <c r="H17" s="96">
        <v>57</v>
      </c>
      <c r="I17" s="96">
        <v>40</v>
      </c>
      <c r="J17" s="96">
        <v>56</v>
      </c>
      <c r="K17" s="96">
        <f t="shared" si="0"/>
        <v>305</v>
      </c>
      <c r="L17" s="17">
        <f t="shared" si="1"/>
        <v>43.571428571428569</v>
      </c>
      <c r="M17" s="72" t="str">
        <f>LOOKUP(L17,{0,33,50,65,80},{"রাসিব","মাকবুল","জায়্যিদ","জা. জিদ্দান","মুমতাজ"})</f>
        <v>মাকবুল</v>
      </c>
      <c r="N17" s="123">
        <v>13</v>
      </c>
    </row>
    <row r="18" spans="1:16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3" t="s">
        <v>23</v>
      </c>
      <c r="M18" s="75"/>
      <c r="N18" s="75"/>
      <c r="O18" s="75"/>
      <c r="P18" s="75"/>
    </row>
    <row r="19" spans="1:16" ht="29.25" customHeight="1">
      <c r="A19" s="76"/>
      <c r="B19" s="26"/>
      <c r="C19" s="32"/>
      <c r="D19" s="25"/>
      <c r="E19" s="25"/>
      <c r="F19" s="25"/>
      <c r="G19" s="25"/>
      <c r="H19" s="25"/>
      <c r="I19" s="25"/>
      <c r="J19" s="25"/>
      <c r="K19" s="25"/>
      <c r="L19" s="74" t="s">
        <v>40</v>
      </c>
      <c r="M19" s="30"/>
      <c r="N19" s="28"/>
      <c r="O19" s="75"/>
      <c r="P19" s="75"/>
    </row>
    <row r="20" spans="1:16" ht="21.75" customHeight="1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28"/>
      <c r="O20" s="75"/>
      <c r="P20" s="75"/>
    </row>
    <row r="21" spans="1:16" ht="2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9"/>
      <c r="O21" s="75"/>
      <c r="P21" s="75"/>
    </row>
    <row r="22" spans="1:16" ht="21.75" customHeight="1">
      <c r="A22" s="26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5"/>
      <c r="O22" s="75"/>
      <c r="P22" s="75"/>
    </row>
    <row r="23" spans="1:16" ht="20.85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80"/>
      <c r="O23" s="75"/>
      <c r="P23" s="75"/>
    </row>
    <row r="24" spans="1:16" ht="20.85" customHeight="1">
      <c r="A24" s="59"/>
      <c r="B24" s="81"/>
      <c r="C24" s="58"/>
      <c r="D24" s="62"/>
      <c r="E24" s="62"/>
      <c r="F24" s="62"/>
      <c r="G24" s="25"/>
      <c r="H24" s="62"/>
      <c r="I24" s="62"/>
      <c r="J24" s="62"/>
      <c r="K24" s="78"/>
      <c r="L24" s="27"/>
      <c r="M24" s="79"/>
      <c r="N24" s="80"/>
      <c r="O24" s="75"/>
      <c r="P24" s="75"/>
    </row>
    <row r="25" spans="1:16" ht="20.85" customHeight="1">
      <c r="A25" s="59"/>
      <c r="C25" s="58"/>
      <c r="D25" s="62"/>
      <c r="E25" s="62"/>
      <c r="F25" s="62"/>
      <c r="G25" s="25"/>
      <c r="H25" s="62"/>
      <c r="I25" s="62"/>
      <c r="J25" s="62"/>
      <c r="K25" s="78"/>
      <c r="L25" s="27"/>
      <c r="M25" s="79"/>
      <c r="N25" s="80"/>
      <c r="O25" s="75"/>
      <c r="P25" s="75"/>
    </row>
    <row r="26" spans="1:16" ht="20.85" customHeight="1">
      <c r="A26" s="59"/>
      <c r="B26" s="77"/>
      <c r="C26" s="58"/>
      <c r="D26" s="62"/>
      <c r="E26" s="62"/>
      <c r="F26" s="62"/>
      <c r="G26" s="25"/>
      <c r="H26" s="62"/>
      <c r="I26" s="62"/>
      <c r="J26" s="62"/>
      <c r="K26" s="78"/>
      <c r="L26" s="27"/>
      <c r="M26" s="79"/>
      <c r="N26" s="80"/>
      <c r="O26" s="75"/>
      <c r="P26" s="75"/>
    </row>
    <row r="27" spans="1:16" ht="20.85" customHeight="1">
      <c r="A27" s="59"/>
      <c r="B27" s="81"/>
      <c r="C27" s="58"/>
      <c r="D27" s="62"/>
      <c r="E27" s="62"/>
      <c r="F27" s="62"/>
      <c r="G27" s="25"/>
      <c r="H27" s="62"/>
      <c r="I27" s="62"/>
      <c r="J27" s="62"/>
      <c r="K27" s="78"/>
      <c r="L27" s="27"/>
      <c r="M27" s="79"/>
      <c r="N27" s="80"/>
      <c r="O27" s="75"/>
      <c r="P27" s="75"/>
    </row>
    <row r="28" spans="1:16" ht="20.85" customHeight="1">
      <c r="A28" s="59"/>
      <c r="B28" s="77"/>
      <c r="C28" s="58"/>
      <c r="D28" s="62"/>
      <c r="E28" s="62"/>
      <c r="F28" s="62"/>
      <c r="G28" s="25"/>
      <c r="H28" s="62"/>
      <c r="I28" s="62"/>
      <c r="J28" s="62"/>
      <c r="K28" s="78"/>
      <c r="L28" s="27"/>
      <c r="M28" s="79"/>
      <c r="N28" s="80"/>
      <c r="O28" s="75"/>
      <c r="P28" s="75"/>
    </row>
    <row r="29" spans="1:16" ht="20.85" customHeight="1">
      <c r="A29" s="59"/>
      <c r="B29" s="77"/>
      <c r="C29" s="58"/>
      <c r="D29" s="62"/>
      <c r="E29" s="62"/>
      <c r="F29" s="62"/>
      <c r="G29" s="25"/>
      <c r="H29" s="62"/>
      <c r="I29" s="62"/>
      <c r="J29" s="62"/>
      <c r="K29" s="78"/>
      <c r="L29" s="27"/>
      <c r="M29" s="79"/>
      <c r="N29" s="80"/>
      <c r="O29" s="75"/>
      <c r="P29" s="75"/>
    </row>
    <row r="30" spans="1:16" ht="20.85" customHeight="1">
      <c r="A30" s="59"/>
      <c r="B30" s="81"/>
      <c r="C30" s="82"/>
      <c r="D30" s="62"/>
      <c r="E30" s="25"/>
      <c r="F30" s="25"/>
      <c r="G30" s="62"/>
      <c r="H30" s="62"/>
      <c r="I30" s="62"/>
      <c r="J30" s="62"/>
      <c r="K30" s="78"/>
      <c r="L30" s="27"/>
      <c r="M30" s="79"/>
      <c r="N30" s="80"/>
      <c r="O30" s="75"/>
      <c r="P30" s="75"/>
    </row>
    <row r="31" spans="1:16" ht="20.85" customHeight="1">
      <c r="A31" s="59"/>
      <c r="B31" s="77"/>
      <c r="C31" s="58"/>
      <c r="D31" s="62"/>
      <c r="E31" s="62"/>
      <c r="F31" s="62"/>
      <c r="G31" s="25"/>
      <c r="H31" s="62"/>
      <c r="I31" s="62"/>
      <c r="J31" s="62"/>
      <c r="K31" s="78"/>
      <c r="L31" s="27"/>
      <c r="M31" s="79"/>
      <c r="N31" s="80"/>
      <c r="O31" s="75"/>
      <c r="P31" s="75"/>
    </row>
    <row r="32" spans="1:16" ht="20.85" customHeight="1">
      <c r="A32" s="59"/>
      <c r="B32" s="77"/>
      <c r="C32" s="58"/>
      <c r="D32" s="62"/>
      <c r="E32" s="62"/>
      <c r="F32" s="62"/>
      <c r="G32" s="25"/>
      <c r="H32" s="62"/>
      <c r="I32" s="62"/>
      <c r="J32" s="62"/>
      <c r="K32" s="78"/>
      <c r="L32" s="27"/>
      <c r="M32" s="79"/>
      <c r="N32" s="80"/>
      <c r="O32" s="75"/>
      <c r="P32" s="75"/>
    </row>
    <row r="33" spans="1:16" ht="20.85" customHeight="1">
      <c r="A33" s="59"/>
      <c r="B33" s="81"/>
      <c r="C33" s="58"/>
      <c r="D33" s="62"/>
      <c r="E33" s="62"/>
      <c r="F33" s="62"/>
      <c r="G33" s="25"/>
      <c r="H33" s="62"/>
      <c r="I33" s="62"/>
      <c r="J33" s="62"/>
      <c r="K33" s="78"/>
      <c r="L33" s="27"/>
      <c r="M33" s="79"/>
      <c r="N33" s="80"/>
      <c r="O33" s="75"/>
      <c r="P33" s="75"/>
    </row>
    <row r="34" spans="1:16" ht="20.85" customHeight="1">
      <c r="A34" s="59"/>
      <c r="B34" s="81"/>
      <c r="C34" s="58"/>
      <c r="D34" s="62"/>
      <c r="E34" s="62"/>
      <c r="F34" s="62"/>
      <c r="G34" s="25"/>
      <c r="H34" s="62"/>
      <c r="I34" s="62"/>
      <c r="J34" s="62"/>
      <c r="K34" s="78"/>
      <c r="L34" s="27"/>
      <c r="M34" s="79"/>
      <c r="N34" s="80"/>
      <c r="O34" s="75"/>
      <c r="P34" s="75"/>
    </row>
    <row r="35" spans="1:16" ht="20.85" customHeight="1">
      <c r="A35" s="59"/>
      <c r="B35" s="81"/>
      <c r="C35" s="58"/>
      <c r="D35" s="62"/>
      <c r="E35" s="62"/>
      <c r="F35" s="62"/>
      <c r="G35" s="25"/>
      <c r="H35" s="62"/>
      <c r="I35" s="62"/>
      <c r="J35" s="62"/>
      <c r="K35" s="78"/>
      <c r="L35" s="27"/>
      <c r="M35" s="79"/>
      <c r="N35" s="80"/>
      <c r="O35" s="75"/>
      <c r="P35" s="75"/>
    </row>
    <row r="36" spans="1:16" ht="20.85" customHeight="1">
      <c r="A36" s="59"/>
      <c r="B36" s="83"/>
      <c r="C36" s="58"/>
      <c r="D36" s="62"/>
      <c r="E36" s="62"/>
      <c r="F36" s="62"/>
      <c r="G36" s="25"/>
      <c r="H36" s="62"/>
      <c r="I36" s="62"/>
      <c r="J36" s="62"/>
      <c r="K36" s="78"/>
      <c r="L36" s="27"/>
      <c r="M36" s="84"/>
      <c r="N36" s="80"/>
      <c r="O36" s="75"/>
      <c r="P36" s="75"/>
    </row>
    <row r="37" spans="1:16" ht="20.85" customHeight="1">
      <c r="A37" s="59"/>
      <c r="B37" s="83"/>
      <c r="C37" s="58"/>
      <c r="D37" s="62"/>
      <c r="E37" s="62"/>
      <c r="F37" s="62"/>
      <c r="G37" s="25"/>
      <c r="H37" s="62"/>
      <c r="I37" s="62"/>
      <c r="J37" s="62"/>
      <c r="K37" s="78"/>
      <c r="L37" s="27"/>
      <c r="M37" s="84"/>
      <c r="N37" s="80"/>
      <c r="O37" s="75"/>
      <c r="P37" s="75"/>
    </row>
    <row r="38" spans="1:16" ht="20.85" customHeight="1">
      <c r="A38" s="59"/>
      <c r="B38" s="77"/>
      <c r="C38" s="58"/>
      <c r="D38" s="62"/>
      <c r="E38" s="62"/>
      <c r="F38" s="62"/>
      <c r="G38" s="25"/>
      <c r="H38" s="62"/>
      <c r="I38" s="62"/>
      <c r="J38" s="62"/>
      <c r="K38" s="78"/>
      <c r="L38" s="27"/>
      <c r="M38" s="84"/>
      <c r="N38" s="80"/>
      <c r="O38" s="75"/>
      <c r="P38" s="75"/>
    </row>
    <row r="39" spans="1:16" ht="23.25">
      <c r="A39" s="59"/>
      <c r="B39" s="60"/>
      <c r="C39" s="61"/>
      <c r="D39" s="62"/>
      <c r="E39" s="62"/>
      <c r="F39" s="62"/>
      <c r="G39" s="25"/>
      <c r="H39" s="62"/>
      <c r="I39" s="62"/>
      <c r="J39" s="62"/>
      <c r="K39" s="51"/>
      <c r="L39" s="73"/>
      <c r="M39" s="33"/>
      <c r="N39" s="28"/>
      <c r="O39" s="75"/>
      <c r="P39" s="75"/>
    </row>
    <row r="40" spans="1:16" ht="23.25">
      <c r="A40" s="25"/>
      <c r="B40" s="60"/>
      <c r="C40" s="61"/>
      <c r="D40" s="62"/>
      <c r="E40" s="62"/>
      <c r="F40" s="62"/>
      <c r="G40" s="25"/>
      <c r="H40" s="62"/>
      <c r="I40" s="62"/>
      <c r="J40" s="62"/>
      <c r="K40" s="51"/>
      <c r="L40" s="74"/>
      <c r="M40" s="33"/>
      <c r="N40" s="28"/>
    </row>
  </sheetData>
  <sortState ref="B5:M17">
    <sortCondition descending="1" ref="K5:K17"/>
  </sortState>
  <mergeCells count="1">
    <mergeCell ref="B4:C4"/>
  </mergeCells>
  <pageMargins left="0.5" right="0" top="0.95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view="pageLayout" zoomScaleNormal="100" workbookViewId="0">
      <selection activeCell="A72" sqref="A72:XFD72"/>
    </sheetView>
  </sheetViews>
  <sheetFormatPr defaultColWidth="9.140625" defaultRowHeight="15"/>
  <cols>
    <col min="1" max="1" width="6.140625" customWidth="1"/>
    <col min="3" max="3" width="10.140625" customWidth="1"/>
    <col min="4" max="9" width="6" customWidth="1"/>
    <col min="10" max="10" width="8.7109375" customWidth="1"/>
    <col min="11" max="11" width="10.42578125" customWidth="1"/>
    <col min="12" max="12" width="10.5703125" customWidth="1"/>
    <col min="13" max="13" width="6.85546875" customWidth="1"/>
    <col min="14" max="14" width="8.140625" customWidth="1"/>
    <col min="15" max="15" width="6.140625" customWidth="1"/>
    <col min="16" max="16" width="4.140625" customWidth="1"/>
  </cols>
  <sheetData>
    <row r="1" spans="1:18" ht="46.5" customHeight="1">
      <c r="A1" s="16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1.75">
      <c r="A2" s="69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1.75">
      <c r="A3" s="122" t="s">
        <v>105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8" ht="86.25" customHeight="1">
      <c r="A4" s="3" t="s">
        <v>0</v>
      </c>
      <c r="B4" s="116" t="s">
        <v>1</v>
      </c>
      <c r="C4" s="117"/>
      <c r="D4" s="4" t="s">
        <v>79</v>
      </c>
      <c r="E4" s="5" t="s">
        <v>46</v>
      </c>
      <c r="F4" s="43" t="s">
        <v>47</v>
      </c>
      <c r="G4" s="8" t="s">
        <v>4</v>
      </c>
      <c r="H4" s="9" t="s">
        <v>5</v>
      </c>
      <c r="I4" s="9" t="s">
        <v>6</v>
      </c>
      <c r="J4" s="21" t="s">
        <v>7</v>
      </c>
      <c r="K4" s="22" t="s">
        <v>2</v>
      </c>
      <c r="L4" s="23" t="s">
        <v>3</v>
      </c>
      <c r="M4" s="24" t="s">
        <v>8</v>
      </c>
      <c r="P4" s="18"/>
      <c r="Q4" s="18"/>
      <c r="R4" s="7"/>
    </row>
    <row r="5" spans="1:18" ht="21.6" customHeight="1">
      <c r="A5" s="12">
        <v>1</v>
      </c>
      <c r="B5" s="66" t="s">
        <v>21</v>
      </c>
      <c r="C5" s="11"/>
      <c r="D5" s="96">
        <v>100</v>
      </c>
      <c r="E5" s="96">
        <v>100</v>
      </c>
      <c r="F5" s="97">
        <v>100</v>
      </c>
      <c r="G5" s="96">
        <v>100</v>
      </c>
      <c r="H5" s="96">
        <v>100</v>
      </c>
      <c r="I5" s="97">
        <v>100</v>
      </c>
      <c r="J5" s="12">
        <f t="shared" ref="J5:J27" si="0">I5+H5+G5+F5+E5+D5</f>
        <v>600</v>
      </c>
      <c r="K5" s="17">
        <f t="shared" ref="K5:K27" si="1">J5/6</f>
        <v>100</v>
      </c>
      <c r="L5" s="72" t="str">
        <f>LOOKUP(K5,{0,33,50,65,80},{"রাসিব","মাকবুল","জায়্যিদ","জা. জিদ্দান","মুমতাজ"})</f>
        <v>মুমতাজ</v>
      </c>
      <c r="M5" s="96">
        <v>1</v>
      </c>
      <c r="P5" s="13"/>
    </row>
    <row r="6" spans="1:18" ht="21.6" customHeight="1">
      <c r="A6" s="12">
        <v>2</v>
      </c>
      <c r="B6" s="68" t="s">
        <v>50</v>
      </c>
      <c r="C6" s="11"/>
      <c r="D6" s="96">
        <v>99</v>
      </c>
      <c r="E6" s="96">
        <v>100</v>
      </c>
      <c r="F6" s="97">
        <v>100</v>
      </c>
      <c r="G6" s="96">
        <v>100</v>
      </c>
      <c r="H6" s="96">
        <v>100</v>
      </c>
      <c r="I6" s="97">
        <v>100</v>
      </c>
      <c r="J6" s="12">
        <f t="shared" si="0"/>
        <v>599</v>
      </c>
      <c r="K6" s="17">
        <f t="shared" si="1"/>
        <v>99.833333333333329</v>
      </c>
      <c r="L6" s="72" t="str">
        <f>LOOKUP(K6,{0,33,50,65,80},{"রাসিব","মাকবুল","জায়্যিদ","জা. জিদ্দান","মুমতাজ"})</f>
        <v>মুমতাজ</v>
      </c>
      <c r="M6" s="96">
        <v>2</v>
      </c>
      <c r="P6" s="13"/>
      <c r="Q6" s="13"/>
      <c r="R6" s="13"/>
    </row>
    <row r="7" spans="1:18" ht="21.6" customHeight="1">
      <c r="A7" s="12">
        <v>3</v>
      </c>
      <c r="B7" s="66" t="s">
        <v>53</v>
      </c>
      <c r="C7" s="14"/>
      <c r="D7" s="96">
        <v>100</v>
      </c>
      <c r="E7" s="96">
        <v>100</v>
      </c>
      <c r="F7" s="97">
        <v>96</v>
      </c>
      <c r="G7" s="96">
        <v>100</v>
      </c>
      <c r="H7" s="96">
        <v>100</v>
      </c>
      <c r="I7" s="97">
        <v>99</v>
      </c>
      <c r="J7" s="12">
        <f t="shared" si="0"/>
        <v>595</v>
      </c>
      <c r="K7" s="17">
        <f t="shared" si="1"/>
        <v>99.166666666666671</v>
      </c>
      <c r="L7" s="72" t="str">
        <f>LOOKUP(K7,{0,33,50,65,80},{"রাসিব","মাকবুল","জায়্যিদ","জা. জিদ্দান","মুমতাজ"})</f>
        <v>মুমতাজ</v>
      </c>
      <c r="M7" s="96">
        <v>3</v>
      </c>
      <c r="P7" s="13"/>
    </row>
    <row r="8" spans="1:18" ht="21.6" customHeight="1">
      <c r="A8" s="12">
        <v>4</v>
      </c>
      <c r="B8" s="68" t="s">
        <v>55</v>
      </c>
      <c r="C8" s="14"/>
      <c r="D8" s="96">
        <v>99</v>
      </c>
      <c r="E8" s="96">
        <v>100</v>
      </c>
      <c r="F8" s="97">
        <v>96</v>
      </c>
      <c r="G8" s="96">
        <v>99</v>
      </c>
      <c r="H8" s="96">
        <v>100</v>
      </c>
      <c r="I8" s="97">
        <v>100</v>
      </c>
      <c r="J8" s="12">
        <f t="shared" si="0"/>
        <v>594</v>
      </c>
      <c r="K8" s="17">
        <f t="shared" si="1"/>
        <v>99</v>
      </c>
      <c r="L8" s="72" t="str">
        <f>LOOKUP(K8,{0,33,50,65,80},{"রাসিব","মাকবুল","জায়্যিদ","জা. জিদ্দান","মুমতাজ"})</f>
        <v>মুমতাজ</v>
      </c>
      <c r="M8" s="96">
        <v>4</v>
      </c>
      <c r="P8" s="13"/>
      <c r="Q8" s="13"/>
      <c r="R8" s="13"/>
    </row>
    <row r="9" spans="1:18" ht="21.6" customHeight="1">
      <c r="A9" s="12">
        <v>5</v>
      </c>
      <c r="B9" s="45" t="s">
        <v>15</v>
      </c>
      <c r="C9" s="14"/>
      <c r="D9" s="96">
        <v>99</v>
      </c>
      <c r="E9" s="96">
        <v>100</v>
      </c>
      <c r="F9" s="96">
        <v>95</v>
      </c>
      <c r="G9" s="96">
        <v>100</v>
      </c>
      <c r="H9" s="96">
        <v>100</v>
      </c>
      <c r="I9" s="97">
        <v>99</v>
      </c>
      <c r="J9" s="12">
        <f t="shared" si="0"/>
        <v>593</v>
      </c>
      <c r="K9" s="17">
        <f t="shared" si="1"/>
        <v>98.833333333333329</v>
      </c>
      <c r="L9" s="72" t="str">
        <f>LOOKUP(K9,{0,33,50,65,80},{"রাসিব","মাকবুল","জায়্যিদ","জা. জিদ্দান","মুমতাজ"})</f>
        <v>মুমতাজ</v>
      </c>
      <c r="M9" s="96">
        <v>5</v>
      </c>
      <c r="P9" s="13"/>
      <c r="Q9" s="13"/>
      <c r="R9" s="13"/>
    </row>
    <row r="10" spans="1:18" ht="21.6" customHeight="1">
      <c r="A10" s="12">
        <v>6</v>
      </c>
      <c r="B10" s="68" t="s">
        <v>58</v>
      </c>
      <c r="C10" s="14"/>
      <c r="D10" s="96">
        <v>100</v>
      </c>
      <c r="E10" s="96">
        <v>100</v>
      </c>
      <c r="F10" s="97">
        <v>94</v>
      </c>
      <c r="G10" s="96">
        <v>100</v>
      </c>
      <c r="H10" s="96">
        <v>94</v>
      </c>
      <c r="I10" s="97">
        <v>100</v>
      </c>
      <c r="J10" s="12">
        <f t="shared" si="0"/>
        <v>588</v>
      </c>
      <c r="K10" s="17">
        <f t="shared" si="1"/>
        <v>98</v>
      </c>
      <c r="L10" s="72" t="str">
        <f>LOOKUP(K10,{0,33,50,65,80},{"রাসিব","মাকবুল","জায়্যিদ","জা. জিদ্দান","মুমতাজ"})</f>
        <v>মুমতাজ</v>
      </c>
      <c r="M10" s="96">
        <v>6</v>
      </c>
      <c r="P10" s="13"/>
    </row>
    <row r="11" spans="1:18" ht="21.6" customHeight="1">
      <c r="A11" s="12">
        <v>7</v>
      </c>
      <c r="B11" s="66" t="s">
        <v>30</v>
      </c>
      <c r="C11" s="11"/>
      <c r="D11" s="96">
        <v>95</v>
      </c>
      <c r="E11" s="96">
        <v>100</v>
      </c>
      <c r="F11" s="96">
        <v>92</v>
      </c>
      <c r="G11" s="96">
        <v>93</v>
      </c>
      <c r="H11" s="96">
        <v>100</v>
      </c>
      <c r="I11" s="97">
        <v>97</v>
      </c>
      <c r="J11" s="12">
        <f t="shared" si="0"/>
        <v>577</v>
      </c>
      <c r="K11" s="17">
        <f t="shared" si="1"/>
        <v>96.166666666666671</v>
      </c>
      <c r="L11" s="72" t="str">
        <f>LOOKUP(K11,{0,33,50,65,80},{"রাসিব","মাকবুল","জায়্যিদ","জা. জিদ্দান","মুমতাজ"})</f>
        <v>মুমতাজ</v>
      </c>
      <c r="M11" s="96">
        <v>7</v>
      </c>
      <c r="P11" s="13"/>
      <c r="Q11" s="13"/>
      <c r="R11" s="13"/>
    </row>
    <row r="12" spans="1:18" ht="21.6" customHeight="1">
      <c r="A12" s="12">
        <v>8</v>
      </c>
      <c r="B12" s="45" t="s">
        <v>20</v>
      </c>
      <c r="C12" s="14"/>
      <c r="D12" s="96">
        <v>97</v>
      </c>
      <c r="E12" s="96">
        <v>100</v>
      </c>
      <c r="F12" s="97">
        <v>100</v>
      </c>
      <c r="G12" s="96">
        <v>83</v>
      </c>
      <c r="H12" s="96">
        <v>98</v>
      </c>
      <c r="I12" s="97">
        <v>90</v>
      </c>
      <c r="J12" s="12">
        <f t="shared" si="0"/>
        <v>568</v>
      </c>
      <c r="K12" s="17">
        <f t="shared" si="1"/>
        <v>94.666666666666671</v>
      </c>
      <c r="L12" s="72" t="str">
        <f>LOOKUP(K12,{0,33,50,65,80},{"রাসিব","মাকবুল","জায়্যিদ","জা. জিদ্দান","মুমতাজ"})</f>
        <v>মুমতাজ</v>
      </c>
      <c r="M12" s="96">
        <v>8</v>
      </c>
      <c r="P12" s="13"/>
      <c r="Q12" s="13"/>
      <c r="R12" s="13"/>
    </row>
    <row r="13" spans="1:18" ht="21.6" customHeight="1">
      <c r="A13" s="12">
        <v>9</v>
      </c>
      <c r="B13" s="45" t="s">
        <v>16</v>
      </c>
      <c r="C13" s="11"/>
      <c r="D13" s="96">
        <v>90</v>
      </c>
      <c r="E13" s="96">
        <v>97</v>
      </c>
      <c r="F13" s="97">
        <v>75</v>
      </c>
      <c r="G13" s="96">
        <v>92</v>
      </c>
      <c r="H13" s="96">
        <v>100</v>
      </c>
      <c r="I13" s="97">
        <v>91</v>
      </c>
      <c r="J13" s="12">
        <f t="shared" si="0"/>
        <v>545</v>
      </c>
      <c r="K13" s="17">
        <f t="shared" si="1"/>
        <v>90.833333333333329</v>
      </c>
      <c r="L13" s="72" t="str">
        <f>LOOKUP(K13,{0,33,50,65,80},{"রাসিব","মাকবুল","জায়্যিদ","জা. জিদ্দান","মুমতাজ"})</f>
        <v>মুমতাজ</v>
      </c>
      <c r="M13" s="96">
        <v>9</v>
      </c>
      <c r="P13" s="13"/>
      <c r="Q13" s="13"/>
      <c r="R13" s="13"/>
    </row>
    <row r="14" spans="1:18" ht="21.6" customHeight="1">
      <c r="A14" s="12">
        <v>10</v>
      </c>
      <c r="B14" s="68" t="s">
        <v>86</v>
      </c>
      <c r="C14" s="14"/>
      <c r="D14" s="96">
        <v>62</v>
      </c>
      <c r="E14" s="96">
        <v>95</v>
      </c>
      <c r="F14" s="97">
        <v>90</v>
      </c>
      <c r="G14" s="96">
        <v>98</v>
      </c>
      <c r="H14" s="96">
        <v>98</v>
      </c>
      <c r="I14" s="97">
        <v>62</v>
      </c>
      <c r="J14" s="12">
        <f t="shared" si="0"/>
        <v>505</v>
      </c>
      <c r="K14" s="17">
        <f t="shared" si="1"/>
        <v>84.166666666666671</v>
      </c>
      <c r="L14" s="72" t="str">
        <f>LOOKUP(K14,{0,33,50,65,80},{"রাসিব","মাকবুল","জায়্যিদ","জা. জিদ্দান","মুমতাজ"})</f>
        <v>মুমতাজ</v>
      </c>
      <c r="M14" s="96">
        <v>10</v>
      </c>
      <c r="P14" s="13"/>
      <c r="Q14" s="13"/>
      <c r="R14" s="13"/>
    </row>
    <row r="15" spans="1:18" ht="21.6" customHeight="1">
      <c r="A15" s="12">
        <v>11</v>
      </c>
      <c r="B15" s="66" t="s">
        <v>28</v>
      </c>
      <c r="C15" s="11"/>
      <c r="D15" s="96">
        <v>56</v>
      </c>
      <c r="E15" s="96">
        <v>85</v>
      </c>
      <c r="F15" s="97">
        <v>70</v>
      </c>
      <c r="G15" s="96">
        <v>100</v>
      </c>
      <c r="H15" s="96">
        <v>94</v>
      </c>
      <c r="I15" s="97">
        <v>98</v>
      </c>
      <c r="J15" s="12">
        <f t="shared" si="0"/>
        <v>503</v>
      </c>
      <c r="K15" s="17">
        <f t="shared" si="1"/>
        <v>83.833333333333329</v>
      </c>
      <c r="L15" s="72" t="str">
        <f>LOOKUP(K15,{0,33,50,65,80},{"রাসিব","মাকবুল","জায়্যিদ","জা. জিদ্দান","মুমতাজ"})</f>
        <v>মুমতাজ</v>
      </c>
      <c r="M15" s="96">
        <v>11</v>
      </c>
      <c r="P15" s="13"/>
      <c r="Q15" s="13"/>
      <c r="R15" s="13"/>
    </row>
    <row r="16" spans="1:18" ht="21.6" customHeight="1">
      <c r="A16" s="12">
        <v>12</v>
      </c>
      <c r="B16" s="45" t="s">
        <v>18</v>
      </c>
      <c r="C16" s="14"/>
      <c r="D16" s="96">
        <v>6</v>
      </c>
      <c r="E16" s="96">
        <v>100</v>
      </c>
      <c r="F16" s="97">
        <v>97</v>
      </c>
      <c r="G16" s="96">
        <v>80</v>
      </c>
      <c r="H16" s="96">
        <v>100</v>
      </c>
      <c r="I16" s="97">
        <v>93</v>
      </c>
      <c r="J16" s="12">
        <f t="shared" si="0"/>
        <v>476</v>
      </c>
      <c r="K16" s="17">
        <f t="shared" si="1"/>
        <v>79.333333333333329</v>
      </c>
      <c r="L16" s="72" t="str">
        <f>LOOKUP(K16,{0,33,50,65,80},{"রাসিব","মাকবুল","জায়্যিদ","জা. জিদ্দান","মুমতাজ"})</f>
        <v>জা. জিদ্দান</v>
      </c>
      <c r="M16" s="96">
        <v>12</v>
      </c>
      <c r="P16" s="10"/>
      <c r="Q16" s="10"/>
    </row>
    <row r="17" spans="1:17" ht="21.6" customHeight="1">
      <c r="A17" s="12">
        <v>13</v>
      </c>
      <c r="B17" s="45" t="s">
        <v>17</v>
      </c>
      <c r="C17" s="11"/>
      <c r="D17" s="96">
        <v>60</v>
      </c>
      <c r="E17" s="96">
        <v>95</v>
      </c>
      <c r="F17" s="97">
        <v>78</v>
      </c>
      <c r="G17" s="96">
        <v>39</v>
      </c>
      <c r="H17" s="96">
        <v>89</v>
      </c>
      <c r="I17" s="97">
        <v>97</v>
      </c>
      <c r="J17" s="12">
        <f t="shared" si="0"/>
        <v>458</v>
      </c>
      <c r="K17" s="17">
        <f t="shared" si="1"/>
        <v>76.333333333333329</v>
      </c>
      <c r="L17" s="72" t="str">
        <f>LOOKUP(K17,{0,33,50,65,80},{"রাসিব","মাকবুল","জায়্যিদ","জা. জিদ্দান","মুমতাজ"})</f>
        <v>জা. জিদ্দান</v>
      </c>
      <c r="M17" s="96">
        <v>13</v>
      </c>
      <c r="P17" s="10"/>
      <c r="Q17" s="10"/>
    </row>
    <row r="18" spans="1:17" ht="21.6" customHeight="1">
      <c r="A18" s="12">
        <v>14</v>
      </c>
      <c r="B18" s="110" t="s">
        <v>51</v>
      </c>
      <c r="C18" s="14"/>
      <c r="D18" s="96">
        <v>35</v>
      </c>
      <c r="E18" s="96">
        <v>100</v>
      </c>
      <c r="F18" s="97">
        <v>94</v>
      </c>
      <c r="G18" s="96">
        <v>48</v>
      </c>
      <c r="H18" s="96">
        <v>82</v>
      </c>
      <c r="I18" s="97">
        <v>92</v>
      </c>
      <c r="J18" s="12">
        <f t="shared" si="0"/>
        <v>451</v>
      </c>
      <c r="K18" s="17">
        <f t="shared" si="1"/>
        <v>75.166666666666671</v>
      </c>
      <c r="L18" s="72" t="str">
        <f>LOOKUP(K18,{0,33,50,65,80},{"রাসিব","মাকবুল","জায়্যিদ","জা. জিদ্দান","মুমতাজ"})</f>
        <v>জা. জিদ্দান</v>
      </c>
      <c r="M18" s="96">
        <v>14</v>
      </c>
      <c r="P18" s="10"/>
      <c r="Q18" s="10"/>
    </row>
    <row r="19" spans="1:17" ht="21.6" customHeight="1">
      <c r="A19" s="12">
        <v>15</v>
      </c>
      <c r="B19" s="45" t="s">
        <v>27</v>
      </c>
      <c r="C19" s="11"/>
      <c r="D19" s="96">
        <v>55</v>
      </c>
      <c r="E19" s="96">
        <v>80</v>
      </c>
      <c r="F19" s="97">
        <v>72</v>
      </c>
      <c r="G19" s="96">
        <v>76</v>
      </c>
      <c r="H19" s="96">
        <v>82</v>
      </c>
      <c r="I19" s="97">
        <v>82</v>
      </c>
      <c r="J19" s="12">
        <f t="shared" si="0"/>
        <v>447</v>
      </c>
      <c r="K19" s="17">
        <f t="shared" si="1"/>
        <v>74.5</v>
      </c>
      <c r="L19" s="72" t="str">
        <f>LOOKUP(K19,{0,33,50,65,80},{"রাসিব","মাকবুল","জায়্যিদ","জা. জিদ্দান","মুমতাজ"})</f>
        <v>জা. জিদ্দান</v>
      </c>
      <c r="M19" s="96">
        <v>15</v>
      </c>
      <c r="P19" s="10"/>
      <c r="Q19" s="10"/>
    </row>
    <row r="20" spans="1:17" ht="21.6" customHeight="1">
      <c r="A20" s="12">
        <v>16</v>
      </c>
      <c r="B20" s="68" t="s">
        <v>56</v>
      </c>
      <c r="C20" s="14"/>
      <c r="D20" s="96">
        <v>33</v>
      </c>
      <c r="E20" s="96">
        <v>95</v>
      </c>
      <c r="F20" s="97">
        <v>65</v>
      </c>
      <c r="G20" s="96">
        <v>55</v>
      </c>
      <c r="H20" s="96">
        <v>83</v>
      </c>
      <c r="I20" s="97">
        <v>99</v>
      </c>
      <c r="J20" s="12">
        <f t="shared" si="0"/>
        <v>430</v>
      </c>
      <c r="K20" s="17">
        <f t="shared" si="1"/>
        <v>71.666666666666671</v>
      </c>
      <c r="L20" s="72" t="str">
        <f>LOOKUP(K20,{0,33,50,65,80},{"রাসিব","মাকবুল","জায়্যিদ","জা. জিদ্দান","মুমতাজ"})</f>
        <v>জা. জিদ্দান</v>
      </c>
      <c r="M20" s="96">
        <v>16</v>
      </c>
      <c r="N20" s="86"/>
      <c r="O20" s="28"/>
      <c r="P20" s="10"/>
      <c r="Q20" s="10"/>
    </row>
    <row r="21" spans="1:17" ht="21.6" customHeight="1">
      <c r="A21" s="12">
        <v>17</v>
      </c>
      <c r="B21" s="66" t="s">
        <v>52</v>
      </c>
      <c r="C21" s="11"/>
      <c r="D21" s="96">
        <v>5</v>
      </c>
      <c r="E21" s="96">
        <v>100</v>
      </c>
      <c r="F21" s="96">
        <v>60</v>
      </c>
      <c r="G21" s="96">
        <v>78</v>
      </c>
      <c r="H21" s="96">
        <v>100</v>
      </c>
      <c r="I21" s="97">
        <v>80</v>
      </c>
      <c r="J21" s="12">
        <f t="shared" si="0"/>
        <v>423</v>
      </c>
      <c r="K21" s="17">
        <f t="shared" si="1"/>
        <v>70.5</v>
      </c>
      <c r="L21" s="72" t="str">
        <f>LOOKUP(K21,{0,33,50,65,80},{"রাসিব","মাকবুল","জায়্যিদ","জা. জিদ্দান","মুমতাজ"})</f>
        <v>জা. জিদ্দান</v>
      </c>
      <c r="M21" s="96">
        <v>17</v>
      </c>
      <c r="N21" s="33"/>
      <c r="O21" s="28"/>
      <c r="P21" s="10"/>
      <c r="Q21" s="63"/>
    </row>
    <row r="22" spans="1:17" ht="21.6" customHeight="1">
      <c r="A22" s="12">
        <v>18</v>
      </c>
      <c r="B22" s="66" t="s">
        <v>54</v>
      </c>
      <c r="C22" s="14"/>
      <c r="D22" s="96">
        <v>2</v>
      </c>
      <c r="E22" s="96">
        <v>90</v>
      </c>
      <c r="F22" s="97">
        <v>90</v>
      </c>
      <c r="G22" s="96">
        <v>73</v>
      </c>
      <c r="H22" s="96">
        <v>25</v>
      </c>
      <c r="I22" s="97">
        <v>43</v>
      </c>
      <c r="J22" s="12">
        <f t="shared" si="0"/>
        <v>323</v>
      </c>
      <c r="K22" s="17">
        <f t="shared" si="1"/>
        <v>53.833333333333336</v>
      </c>
      <c r="L22" s="72" t="str">
        <f>LOOKUP(K22,{0,33,50,65,80},{"রাসিব","মাকবুল","জায়্যিদ","জা. জিদ্দান","মুমতাজ"})</f>
        <v>জায়্যিদ</v>
      </c>
      <c r="M22" s="96">
        <v>18</v>
      </c>
      <c r="N22" s="33"/>
      <c r="O22" s="28"/>
      <c r="P22" s="10"/>
      <c r="Q22" s="64"/>
    </row>
    <row r="23" spans="1:17" ht="21.6" customHeight="1">
      <c r="A23" s="12">
        <v>19</v>
      </c>
      <c r="B23" s="68" t="s">
        <v>85</v>
      </c>
      <c r="C23" s="14"/>
      <c r="D23" s="96">
        <v>2</v>
      </c>
      <c r="E23" s="96">
        <v>80</v>
      </c>
      <c r="F23" s="97">
        <v>65</v>
      </c>
      <c r="G23" s="96">
        <v>61</v>
      </c>
      <c r="H23" s="96">
        <v>46</v>
      </c>
      <c r="I23" s="97">
        <v>68</v>
      </c>
      <c r="J23" s="12">
        <f t="shared" si="0"/>
        <v>322</v>
      </c>
      <c r="K23" s="17">
        <f t="shared" si="1"/>
        <v>53.666666666666664</v>
      </c>
      <c r="L23" s="72" t="str">
        <f>LOOKUP(K23,{0,33,50,65,80},{"রাসিব","মাকবুল","জায়্যিদ","জা. জিদ্দান","মুমতাজ"})</f>
        <v>জায়্যিদ</v>
      </c>
      <c r="M23" s="96">
        <v>19</v>
      </c>
      <c r="N23" s="33"/>
      <c r="O23" s="28"/>
      <c r="P23" s="10"/>
    </row>
    <row r="24" spans="1:17" ht="21.6" customHeight="1">
      <c r="A24" s="12">
        <v>20</v>
      </c>
      <c r="B24" s="65" t="s">
        <v>19</v>
      </c>
      <c r="C24" s="14"/>
      <c r="D24" s="96">
        <v>2</v>
      </c>
      <c r="E24" s="96">
        <v>95</v>
      </c>
      <c r="F24" s="97">
        <v>70</v>
      </c>
      <c r="G24" s="96">
        <v>40</v>
      </c>
      <c r="H24" s="96">
        <v>51</v>
      </c>
      <c r="I24" s="97">
        <v>61</v>
      </c>
      <c r="J24" s="12">
        <f t="shared" si="0"/>
        <v>319</v>
      </c>
      <c r="K24" s="17">
        <f t="shared" si="1"/>
        <v>53.166666666666664</v>
      </c>
      <c r="L24" s="72" t="str">
        <f>LOOKUP(K24,{0,33,50,65,80},{"রাসিব","মাকবুল","জায়্যিদ","জা. জিদ্দান","মুমতাজ"})</f>
        <v>জায়্যিদ</v>
      </c>
      <c r="M24" s="96">
        <v>20</v>
      </c>
      <c r="N24" s="33"/>
      <c r="O24" s="28"/>
      <c r="P24" s="10"/>
      <c r="Q24" s="10"/>
    </row>
    <row r="25" spans="1:17" ht="21.6" customHeight="1">
      <c r="A25" s="12">
        <v>21</v>
      </c>
      <c r="B25" s="71" t="s">
        <v>42</v>
      </c>
      <c r="C25" s="11"/>
      <c r="D25" s="96">
        <v>2</v>
      </c>
      <c r="E25" s="96">
        <v>92</v>
      </c>
      <c r="F25" s="97">
        <v>50</v>
      </c>
      <c r="G25" s="96">
        <v>61</v>
      </c>
      <c r="H25" s="96">
        <v>53</v>
      </c>
      <c r="I25" s="97">
        <v>50</v>
      </c>
      <c r="J25" s="12">
        <f t="shared" si="0"/>
        <v>308</v>
      </c>
      <c r="K25" s="17">
        <f t="shared" si="1"/>
        <v>51.333333333333336</v>
      </c>
      <c r="L25" s="72" t="str">
        <f>LOOKUP(K25,{0,33,50,65,80},{"রাসিব","মাকবুল","জায়্যিদ","জা. জিদ্দান","মুমতাজ"})</f>
        <v>জায়্যিদ</v>
      </c>
      <c r="M25" s="96">
        <v>21</v>
      </c>
      <c r="N25" s="33"/>
      <c r="O25" s="28"/>
      <c r="P25" s="10"/>
      <c r="Q25" s="10"/>
    </row>
    <row r="26" spans="1:17" ht="21.6" customHeight="1">
      <c r="A26" s="12">
        <v>22</v>
      </c>
      <c r="B26" s="66" t="s">
        <v>29</v>
      </c>
      <c r="C26" s="14"/>
      <c r="D26" s="96">
        <v>12</v>
      </c>
      <c r="E26" s="96">
        <v>85</v>
      </c>
      <c r="F26" s="97">
        <v>68</v>
      </c>
      <c r="G26" s="96">
        <v>33</v>
      </c>
      <c r="H26" s="96">
        <v>36</v>
      </c>
      <c r="I26" s="97">
        <v>70</v>
      </c>
      <c r="J26" s="12">
        <f t="shared" si="0"/>
        <v>304</v>
      </c>
      <c r="K26" s="17">
        <f t="shared" si="1"/>
        <v>50.666666666666664</v>
      </c>
      <c r="L26" s="72" t="str">
        <f>LOOKUP(K26,{0,33,50,65,80},{"রাসিব","মাকবুল","জায়্যিদ","জা. জিদ্দান","মুমতাজ"})</f>
        <v>জায়্যিদ</v>
      </c>
      <c r="M26" s="96">
        <v>22</v>
      </c>
      <c r="N26" s="93"/>
      <c r="O26" s="28"/>
      <c r="P26" s="10"/>
      <c r="Q26" s="10"/>
    </row>
    <row r="27" spans="1:17" ht="21.6" customHeight="1">
      <c r="A27" s="12">
        <v>23</v>
      </c>
      <c r="B27" s="68" t="s">
        <v>57</v>
      </c>
      <c r="C27" s="14"/>
      <c r="D27" s="96">
        <v>2</v>
      </c>
      <c r="E27" s="96">
        <v>80</v>
      </c>
      <c r="F27" s="97">
        <v>50</v>
      </c>
      <c r="G27" s="96">
        <v>12</v>
      </c>
      <c r="H27" s="96">
        <v>24</v>
      </c>
      <c r="I27" s="97">
        <v>46</v>
      </c>
      <c r="J27" s="12">
        <f t="shared" si="0"/>
        <v>214</v>
      </c>
      <c r="K27" s="17">
        <f t="shared" si="1"/>
        <v>35.666666666666664</v>
      </c>
      <c r="L27" s="72" t="str">
        <f>LOOKUP(K27,{0,33,50,65,80},{"রাসিব","মাকবুল","জায়্যিদ","জা. জিদ্দান","মুমতাজ"})</f>
        <v>মাকবুল</v>
      </c>
      <c r="M27" s="96">
        <v>23</v>
      </c>
      <c r="N27" s="93"/>
      <c r="O27" s="28"/>
      <c r="P27" s="10"/>
      <c r="Q27" s="10"/>
    </row>
    <row r="28" spans="1:17" ht="21.6" customHeight="1">
      <c r="A28" s="25"/>
      <c r="B28" s="94"/>
      <c r="C28" s="61"/>
      <c r="D28" s="98"/>
      <c r="E28" s="98"/>
      <c r="F28" s="99"/>
      <c r="G28" s="98"/>
      <c r="H28" s="98"/>
      <c r="I28" s="99"/>
      <c r="J28" s="25"/>
      <c r="K28" s="27"/>
      <c r="L28" s="63" t="s">
        <v>23</v>
      </c>
      <c r="M28" s="95"/>
      <c r="N28" s="93"/>
      <c r="O28" s="28"/>
      <c r="P28" s="10"/>
      <c r="Q28" s="10"/>
    </row>
    <row r="29" spans="1:17" ht="21.6" customHeight="1">
      <c r="A29" s="25"/>
      <c r="B29" s="94"/>
      <c r="C29" s="61"/>
      <c r="D29" s="62"/>
      <c r="E29" s="62"/>
      <c r="F29" s="62"/>
      <c r="G29" s="25"/>
      <c r="H29" s="62"/>
      <c r="I29" s="62"/>
      <c r="J29" s="62"/>
      <c r="K29" s="62"/>
      <c r="L29" s="64" t="s">
        <v>40</v>
      </c>
      <c r="M29" s="27"/>
      <c r="N29" s="93"/>
      <c r="O29" s="28"/>
      <c r="P29" s="10"/>
      <c r="Q29" s="10"/>
    </row>
    <row r="30" spans="1:17" ht="21.6" customHeight="1">
      <c r="A30" s="25"/>
      <c r="B30" s="94"/>
      <c r="C30" s="61"/>
      <c r="D30" s="62"/>
      <c r="E30" s="62"/>
      <c r="F30" s="62"/>
      <c r="G30" s="25"/>
      <c r="H30" s="62"/>
      <c r="I30" s="62"/>
      <c r="J30" s="62"/>
      <c r="K30" s="62"/>
      <c r="L30" s="64"/>
      <c r="M30" s="27"/>
      <c r="N30" s="93"/>
      <c r="O30" s="28"/>
      <c r="P30" s="10"/>
      <c r="Q30" s="10"/>
    </row>
    <row r="31" spans="1:17" ht="21.6" customHeight="1">
      <c r="A31" s="25"/>
      <c r="B31" s="94"/>
      <c r="C31" s="61"/>
      <c r="D31" s="62"/>
      <c r="E31" s="62"/>
      <c r="F31" s="62"/>
      <c r="G31" s="25"/>
      <c r="H31" s="62"/>
      <c r="I31" s="62"/>
      <c r="J31" s="62"/>
      <c r="K31" s="62"/>
      <c r="L31" s="64"/>
      <c r="M31" s="27"/>
      <c r="N31" s="93"/>
      <c r="O31" s="28"/>
      <c r="P31" s="10"/>
      <c r="Q31" s="10"/>
    </row>
    <row r="32" spans="1:17" ht="21.6" customHeight="1">
      <c r="A32" s="25"/>
      <c r="B32" s="60"/>
      <c r="C32" s="61"/>
      <c r="D32" s="62"/>
      <c r="E32" s="62"/>
      <c r="F32" s="62"/>
      <c r="G32" s="25"/>
      <c r="H32" s="62"/>
      <c r="I32" s="62"/>
      <c r="J32" s="62"/>
      <c r="K32" s="62"/>
      <c r="M32" s="27"/>
      <c r="N32" s="33"/>
      <c r="O32" s="28"/>
      <c r="P32" s="10"/>
      <c r="Q32" s="10"/>
    </row>
    <row r="33" spans="1:18" ht="21.6" customHeight="1">
      <c r="A33" s="25"/>
      <c r="B33" s="60"/>
      <c r="C33" s="61"/>
      <c r="D33" s="62"/>
      <c r="E33" s="62"/>
      <c r="F33" s="62"/>
      <c r="G33" s="25"/>
      <c r="H33" s="62"/>
      <c r="I33" s="62"/>
      <c r="J33" s="62"/>
      <c r="K33" s="62"/>
      <c r="M33" s="27"/>
      <c r="N33" s="93"/>
      <c r="O33" s="28"/>
      <c r="P33" s="10"/>
      <c r="Q33" s="10"/>
    </row>
    <row r="34" spans="1:18" ht="46.5" customHeight="1">
      <c r="A34" s="16" t="s">
        <v>22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1"/>
      <c r="Q34" s="1"/>
      <c r="R34" s="1"/>
    </row>
    <row r="35" spans="1:18" ht="21.75">
      <c r="A35" s="69" t="s">
        <v>100</v>
      </c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6"/>
      <c r="O35" s="36"/>
      <c r="P35" s="2"/>
      <c r="Q35" s="2"/>
      <c r="R35" s="2"/>
    </row>
    <row r="36" spans="1:18" ht="21.75">
      <c r="A36" s="107" t="s">
        <v>101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19"/>
    </row>
    <row r="37" spans="1:18" ht="87" customHeight="1">
      <c r="A37" s="40" t="s">
        <v>0</v>
      </c>
      <c r="B37" s="121" t="s">
        <v>1</v>
      </c>
      <c r="C37" s="121"/>
      <c r="D37" s="5" t="s">
        <v>80</v>
      </c>
      <c r="E37" s="5" t="s">
        <v>46</v>
      </c>
      <c r="F37" s="43" t="s">
        <v>47</v>
      </c>
      <c r="G37" s="41" t="s">
        <v>4</v>
      </c>
      <c r="H37" s="42" t="s">
        <v>5</v>
      </c>
      <c r="I37" s="42" t="s">
        <v>6</v>
      </c>
      <c r="J37" s="87" t="s">
        <v>7</v>
      </c>
      <c r="K37" s="88" t="s">
        <v>2</v>
      </c>
      <c r="L37" s="42" t="s">
        <v>3</v>
      </c>
      <c r="M37" s="44" t="s">
        <v>8</v>
      </c>
      <c r="P37" s="18"/>
      <c r="Q37" s="18"/>
      <c r="R37" s="7"/>
    </row>
    <row r="38" spans="1:18" ht="18" customHeight="1">
      <c r="A38" s="35">
        <v>1</v>
      </c>
      <c r="B38" s="45" t="s">
        <v>34</v>
      </c>
      <c r="C38" s="46"/>
      <c r="D38" s="105">
        <v>100</v>
      </c>
      <c r="E38" s="105">
        <v>100</v>
      </c>
      <c r="F38" s="105">
        <v>100</v>
      </c>
      <c r="G38" s="105">
        <v>100</v>
      </c>
      <c r="H38" s="105">
        <v>100</v>
      </c>
      <c r="I38" s="105">
        <v>100</v>
      </c>
      <c r="J38" s="105">
        <f t="shared" ref="J38:J68" si="2">I38+H38+G38+F38+E38+D38</f>
        <v>600</v>
      </c>
      <c r="K38" s="106">
        <f t="shared" ref="K38:K68" si="3">J38/6</f>
        <v>100</v>
      </c>
      <c r="L38" s="72" t="str">
        <f>LOOKUP(K38,{0,33,50,65,80},{"রাসিব","মাকবুল","জায়্যিদ","জা. জিদ্দান","মুমতাজ"})</f>
        <v>মুমতাজ</v>
      </c>
      <c r="M38" s="105">
        <v>1</v>
      </c>
    </row>
    <row r="39" spans="1:18" ht="18" customHeight="1">
      <c r="A39" s="35">
        <v>2</v>
      </c>
      <c r="B39" s="54" t="s">
        <v>44</v>
      </c>
      <c r="C39" s="46"/>
      <c r="D39" s="105">
        <v>100</v>
      </c>
      <c r="E39" s="105">
        <v>100</v>
      </c>
      <c r="F39" s="105">
        <v>100</v>
      </c>
      <c r="G39" s="105">
        <v>100</v>
      </c>
      <c r="H39" s="105">
        <v>100</v>
      </c>
      <c r="I39" s="105">
        <v>100</v>
      </c>
      <c r="J39" s="105">
        <f t="shared" si="2"/>
        <v>600</v>
      </c>
      <c r="K39" s="106">
        <f t="shared" si="3"/>
        <v>100</v>
      </c>
      <c r="L39" s="72" t="str">
        <f>LOOKUP(K39,{0,33,50,65,80},{"রাসিব","মাকবুল","জায়্যিদ","জা. জিদ্দান","মুমতাজ"})</f>
        <v>মুমতাজ</v>
      </c>
      <c r="M39" s="105">
        <v>1</v>
      </c>
    </row>
    <row r="40" spans="1:18" ht="18" customHeight="1">
      <c r="A40" s="35">
        <v>3</v>
      </c>
      <c r="B40" s="45" t="s">
        <v>33</v>
      </c>
      <c r="C40" s="46"/>
      <c r="D40" s="105">
        <v>100</v>
      </c>
      <c r="E40" s="105">
        <v>100</v>
      </c>
      <c r="F40" s="105">
        <v>100</v>
      </c>
      <c r="G40" s="105">
        <v>100</v>
      </c>
      <c r="H40" s="105">
        <v>100</v>
      </c>
      <c r="I40" s="105">
        <v>100</v>
      </c>
      <c r="J40" s="105">
        <f t="shared" si="2"/>
        <v>600</v>
      </c>
      <c r="K40" s="106">
        <f t="shared" si="3"/>
        <v>100</v>
      </c>
      <c r="L40" s="72" t="str">
        <f>LOOKUP(K40,{0,33,50,65,80},{"রাসিব","মাকবুল","জায়্যিদ","জা. জিদ্দান","মুমতাজ"})</f>
        <v>মুমতাজ</v>
      </c>
      <c r="M40" s="105">
        <v>1</v>
      </c>
    </row>
    <row r="41" spans="1:18" ht="18" customHeight="1">
      <c r="A41" s="35">
        <v>4</v>
      </c>
      <c r="B41" s="45" t="s">
        <v>96</v>
      </c>
      <c r="C41" s="46"/>
      <c r="D41" s="105">
        <v>100</v>
      </c>
      <c r="E41" s="105">
        <v>100</v>
      </c>
      <c r="F41" s="105">
        <v>100</v>
      </c>
      <c r="G41" s="105">
        <v>100</v>
      </c>
      <c r="H41" s="105">
        <v>100</v>
      </c>
      <c r="I41" s="105">
        <v>100</v>
      </c>
      <c r="J41" s="105">
        <f t="shared" si="2"/>
        <v>600</v>
      </c>
      <c r="K41" s="106">
        <f t="shared" si="3"/>
        <v>100</v>
      </c>
      <c r="L41" s="72" t="str">
        <f>LOOKUP(K41,{0,33,50,65,80},{"রাসিব","মাকবুল","জায়্যিদ","জা. জিদ্দান","মুমতাজ"})</f>
        <v>মুমতাজ</v>
      </c>
      <c r="M41" s="105">
        <v>1</v>
      </c>
    </row>
    <row r="42" spans="1:18" ht="18" customHeight="1">
      <c r="A42" s="35">
        <v>5</v>
      </c>
      <c r="B42" s="66" t="s">
        <v>59</v>
      </c>
      <c r="C42" s="46"/>
      <c r="D42" s="105">
        <v>100</v>
      </c>
      <c r="E42" s="105">
        <v>100</v>
      </c>
      <c r="F42" s="105">
        <v>100</v>
      </c>
      <c r="G42" s="105">
        <v>100</v>
      </c>
      <c r="H42" s="105">
        <v>100</v>
      </c>
      <c r="I42" s="105">
        <v>100</v>
      </c>
      <c r="J42" s="105">
        <f t="shared" si="2"/>
        <v>600</v>
      </c>
      <c r="K42" s="106">
        <f t="shared" si="3"/>
        <v>100</v>
      </c>
      <c r="L42" s="72" t="str">
        <f>LOOKUP(K42,{0,33,50,65,80},{"রাসিব","মাকবুল","জায়্যিদ","জা. জিদ্দান","মুমতাজ"})</f>
        <v>মুমতাজ</v>
      </c>
      <c r="M42" s="105">
        <v>1</v>
      </c>
    </row>
    <row r="43" spans="1:18" ht="18" customHeight="1">
      <c r="A43" s="35">
        <v>6</v>
      </c>
      <c r="B43" s="45" t="s">
        <v>31</v>
      </c>
      <c r="C43" s="46"/>
      <c r="D43" s="105">
        <v>99</v>
      </c>
      <c r="E43" s="105">
        <v>100</v>
      </c>
      <c r="F43" s="105">
        <v>100</v>
      </c>
      <c r="G43" s="105">
        <v>100</v>
      </c>
      <c r="H43" s="105">
        <v>100</v>
      </c>
      <c r="I43" s="105">
        <v>100</v>
      </c>
      <c r="J43" s="105">
        <f t="shared" si="2"/>
        <v>599</v>
      </c>
      <c r="K43" s="106">
        <f t="shared" si="3"/>
        <v>99.833333333333329</v>
      </c>
      <c r="L43" s="72" t="str">
        <f>LOOKUP(K43,{0,33,50,65,80},{"রাসিব","মাকবুল","জায়্যিদ","জা. জিদ্দান","মুমতাজ"})</f>
        <v>মুমতাজ</v>
      </c>
      <c r="M43" s="105">
        <v>2</v>
      </c>
    </row>
    <row r="44" spans="1:18" ht="18" customHeight="1">
      <c r="A44" s="35">
        <v>7</v>
      </c>
      <c r="B44" s="102" t="s">
        <v>82</v>
      </c>
      <c r="C44" s="70"/>
      <c r="D44" s="105">
        <v>99</v>
      </c>
      <c r="E44" s="105">
        <v>100</v>
      </c>
      <c r="F44" s="105">
        <v>100</v>
      </c>
      <c r="G44" s="105">
        <v>100</v>
      </c>
      <c r="H44" s="105">
        <v>100</v>
      </c>
      <c r="I44" s="105">
        <v>100</v>
      </c>
      <c r="J44" s="105">
        <f t="shared" si="2"/>
        <v>599</v>
      </c>
      <c r="K44" s="106">
        <f t="shared" si="3"/>
        <v>99.833333333333329</v>
      </c>
      <c r="L44" s="72" t="str">
        <f>LOOKUP(K44,{0,33,50,65,80},{"রাসিব","মাকবুল","জায়্যিদ","জা. জিদ্দান","মুমতাজ"})</f>
        <v>মুমতাজ</v>
      </c>
      <c r="M44" s="105">
        <v>2</v>
      </c>
    </row>
    <row r="45" spans="1:18" ht="18" customHeight="1">
      <c r="A45" s="35">
        <v>8</v>
      </c>
      <c r="B45" s="45" t="s">
        <v>32</v>
      </c>
      <c r="C45" s="15"/>
      <c r="D45" s="105">
        <v>99</v>
      </c>
      <c r="E45" s="105">
        <v>100</v>
      </c>
      <c r="F45" s="105">
        <v>100</v>
      </c>
      <c r="G45" s="105">
        <v>100</v>
      </c>
      <c r="H45" s="105">
        <v>100</v>
      </c>
      <c r="I45" s="105">
        <v>100</v>
      </c>
      <c r="J45" s="105">
        <f t="shared" si="2"/>
        <v>599</v>
      </c>
      <c r="K45" s="106">
        <f t="shared" si="3"/>
        <v>99.833333333333329</v>
      </c>
      <c r="L45" s="72" t="str">
        <f>LOOKUP(K45,{0,33,50,65,80},{"রাসিব","মাকবুল","জায়্যিদ","জা. জিদ্দান","মুমতাজ"})</f>
        <v>মুমতাজ</v>
      </c>
      <c r="M45" s="105">
        <v>2</v>
      </c>
    </row>
    <row r="46" spans="1:18" ht="18" customHeight="1">
      <c r="A46" s="35">
        <v>9</v>
      </c>
      <c r="B46" s="104" t="s">
        <v>92</v>
      </c>
      <c r="C46" s="70"/>
      <c r="D46" s="105">
        <v>99</v>
      </c>
      <c r="E46" s="105">
        <v>100</v>
      </c>
      <c r="F46" s="105">
        <v>100</v>
      </c>
      <c r="G46" s="105">
        <v>100</v>
      </c>
      <c r="H46" s="105">
        <v>100</v>
      </c>
      <c r="I46" s="105">
        <v>100</v>
      </c>
      <c r="J46" s="105">
        <f t="shared" si="2"/>
        <v>599</v>
      </c>
      <c r="K46" s="106">
        <f t="shared" si="3"/>
        <v>99.833333333333329</v>
      </c>
      <c r="L46" s="72" t="str">
        <f>LOOKUP(K46,{0,33,50,65,80},{"রাসিব","মাকবুল","জায়্যিদ","জা. জিদ্দান","মুমতাজ"})</f>
        <v>মুমতাজ</v>
      </c>
      <c r="M46" s="105">
        <v>2</v>
      </c>
    </row>
    <row r="47" spans="1:18" ht="18" customHeight="1">
      <c r="A47" s="35">
        <v>10</v>
      </c>
      <c r="B47" s="103" t="s">
        <v>61</v>
      </c>
      <c r="C47" s="46"/>
      <c r="D47" s="105">
        <v>99</v>
      </c>
      <c r="E47" s="105">
        <v>100</v>
      </c>
      <c r="F47" s="105">
        <v>100</v>
      </c>
      <c r="G47" s="105">
        <v>100</v>
      </c>
      <c r="H47" s="105">
        <v>100</v>
      </c>
      <c r="I47" s="105">
        <v>100</v>
      </c>
      <c r="J47" s="105">
        <f t="shared" si="2"/>
        <v>599</v>
      </c>
      <c r="K47" s="106">
        <f t="shared" si="3"/>
        <v>99.833333333333329</v>
      </c>
      <c r="L47" s="72" t="str">
        <f>LOOKUP(K47,{0,33,50,65,80},{"রাসিব","মাকবুল","জায়্যিদ","জা. জিদ্দান","মুমতাজ"})</f>
        <v>মুমতাজ</v>
      </c>
      <c r="M47" s="105">
        <v>2</v>
      </c>
    </row>
    <row r="48" spans="1:18" ht="18" customHeight="1">
      <c r="A48" s="35">
        <v>11</v>
      </c>
      <c r="B48" s="45" t="s">
        <v>43</v>
      </c>
      <c r="C48" s="46"/>
      <c r="D48" s="105">
        <v>98</v>
      </c>
      <c r="E48" s="105">
        <v>100</v>
      </c>
      <c r="F48" s="105">
        <v>100</v>
      </c>
      <c r="G48" s="105">
        <v>100</v>
      </c>
      <c r="H48" s="105">
        <v>100</v>
      </c>
      <c r="I48" s="105">
        <v>100</v>
      </c>
      <c r="J48" s="105">
        <f t="shared" si="2"/>
        <v>598</v>
      </c>
      <c r="K48" s="106">
        <f t="shared" si="3"/>
        <v>99.666666666666671</v>
      </c>
      <c r="L48" s="72" t="str">
        <f>LOOKUP(K48,{0,33,50,65,80},{"রাসিব","মাকবুল","জায়্যিদ","জা. জিদ্দান","মুমতাজ"})</f>
        <v>মুমতাজ</v>
      </c>
      <c r="M48" s="105">
        <v>3</v>
      </c>
    </row>
    <row r="49" spans="1:15" ht="18" customHeight="1">
      <c r="A49" s="35">
        <v>12</v>
      </c>
      <c r="B49" s="67" t="s">
        <v>60</v>
      </c>
      <c r="C49" s="46"/>
      <c r="D49" s="105">
        <v>99</v>
      </c>
      <c r="E49" s="105">
        <v>100</v>
      </c>
      <c r="F49" s="105">
        <v>100</v>
      </c>
      <c r="G49" s="105">
        <v>99</v>
      </c>
      <c r="H49" s="105">
        <v>100</v>
      </c>
      <c r="I49" s="105">
        <v>100</v>
      </c>
      <c r="J49" s="105">
        <f t="shared" si="2"/>
        <v>598</v>
      </c>
      <c r="K49" s="106">
        <f t="shared" si="3"/>
        <v>99.666666666666671</v>
      </c>
      <c r="L49" s="72" t="str">
        <f>LOOKUP(K49,{0,33,50,65,80},{"রাসিব","মাকবুল","জায়্যিদ","জা. জিদ্দান","মুমতাজ"})</f>
        <v>মুমতাজ</v>
      </c>
      <c r="M49" s="105">
        <v>3</v>
      </c>
    </row>
    <row r="50" spans="1:15" ht="18" customHeight="1">
      <c r="A50" s="35">
        <v>13</v>
      </c>
      <c r="B50" s="55" t="s">
        <v>10</v>
      </c>
      <c r="C50" s="46"/>
      <c r="D50" s="105">
        <v>99</v>
      </c>
      <c r="E50" s="105">
        <v>100</v>
      </c>
      <c r="F50" s="105">
        <v>100</v>
      </c>
      <c r="G50" s="105">
        <v>100</v>
      </c>
      <c r="H50" s="105">
        <v>99</v>
      </c>
      <c r="I50" s="105">
        <v>100</v>
      </c>
      <c r="J50" s="105">
        <f t="shared" si="2"/>
        <v>598</v>
      </c>
      <c r="K50" s="106">
        <f t="shared" si="3"/>
        <v>99.666666666666671</v>
      </c>
      <c r="L50" s="72" t="str">
        <f>LOOKUP(K50,{0,33,50,65,80},{"রাসিব","মাকবুল","জায়্যিদ","জা. জিদ্দান","মুমতাজ"})</f>
        <v>মুমতাজ</v>
      </c>
      <c r="M50" s="105">
        <v>3</v>
      </c>
    </row>
    <row r="51" spans="1:15" ht="18" customHeight="1">
      <c r="A51" s="35">
        <v>14</v>
      </c>
      <c r="B51" s="20" t="s">
        <v>63</v>
      </c>
      <c r="C51" s="109"/>
      <c r="D51" s="105">
        <v>98</v>
      </c>
      <c r="E51" s="105">
        <v>100</v>
      </c>
      <c r="F51" s="105">
        <v>100</v>
      </c>
      <c r="G51" s="105">
        <v>100</v>
      </c>
      <c r="H51" s="105">
        <v>100</v>
      </c>
      <c r="I51" s="105">
        <v>100</v>
      </c>
      <c r="J51" s="105">
        <f t="shared" si="2"/>
        <v>598</v>
      </c>
      <c r="K51" s="106">
        <f t="shared" si="3"/>
        <v>99.666666666666671</v>
      </c>
      <c r="L51" s="72" t="str">
        <f>LOOKUP(K51,{0,33,50,65,80},{"রাসিব","মাকবুল","জায়্যিদ","জা. জিদ্দান","মুমতাজ"})</f>
        <v>মুমতাজ</v>
      </c>
      <c r="M51" s="105">
        <v>3</v>
      </c>
    </row>
    <row r="52" spans="1:15" ht="18" customHeight="1">
      <c r="A52" s="35">
        <v>15</v>
      </c>
      <c r="B52" s="45" t="s">
        <v>81</v>
      </c>
      <c r="C52" s="70"/>
      <c r="D52" s="105">
        <v>99</v>
      </c>
      <c r="E52" s="105">
        <v>100</v>
      </c>
      <c r="F52" s="105">
        <v>100</v>
      </c>
      <c r="G52" s="105">
        <v>100</v>
      </c>
      <c r="H52" s="105">
        <v>96</v>
      </c>
      <c r="I52" s="105">
        <v>100</v>
      </c>
      <c r="J52" s="105">
        <f t="shared" si="2"/>
        <v>595</v>
      </c>
      <c r="K52" s="106">
        <f t="shared" si="3"/>
        <v>99.166666666666671</v>
      </c>
      <c r="L52" s="72" t="str">
        <f>LOOKUP(K52,{0,33,50,65,80},{"রাসিব","মাকবুল","জায়্যিদ","জা. জিদ্দান","মুমতাজ"})</f>
        <v>মুমতাজ</v>
      </c>
      <c r="M52" s="105">
        <v>4</v>
      </c>
      <c r="N52" s="50"/>
      <c r="O52" s="53"/>
    </row>
    <row r="53" spans="1:15" ht="18" customHeight="1">
      <c r="A53" s="35">
        <v>16</v>
      </c>
      <c r="B53" s="55" t="s">
        <v>65</v>
      </c>
      <c r="C53" s="46"/>
      <c r="D53" s="105">
        <v>100</v>
      </c>
      <c r="E53" s="105">
        <v>96</v>
      </c>
      <c r="F53" s="105">
        <v>100</v>
      </c>
      <c r="G53" s="105">
        <v>100</v>
      </c>
      <c r="H53" s="105">
        <v>99</v>
      </c>
      <c r="I53" s="105">
        <v>100</v>
      </c>
      <c r="J53" s="105">
        <f t="shared" si="2"/>
        <v>595</v>
      </c>
      <c r="K53" s="106">
        <f t="shared" si="3"/>
        <v>99.166666666666671</v>
      </c>
      <c r="L53" s="72" t="str">
        <f>LOOKUP(K53,{0,33,50,65,80},{"রাসিব","মাকবুল","জায়্যিদ","জা. জিদ্দান","মুমতাজ"})</f>
        <v>মুমতাজ</v>
      </c>
      <c r="M53" s="105">
        <v>4</v>
      </c>
      <c r="N53" s="50"/>
      <c r="O53" s="53"/>
    </row>
    <row r="54" spans="1:15" ht="18" customHeight="1">
      <c r="A54" s="35">
        <v>17</v>
      </c>
      <c r="B54" s="55" t="s">
        <v>37</v>
      </c>
      <c r="C54" s="46"/>
      <c r="D54" s="105">
        <v>99</v>
      </c>
      <c r="E54" s="105">
        <v>100</v>
      </c>
      <c r="F54" s="105">
        <v>100</v>
      </c>
      <c r="G54" s="105">
        <v>100</v>
      </c>
      <c r="H54" s="105">
        <v>100</v>
      </c>
      <c r="I54" s="105">
        <v>94</v>
      </c>
      <c r="J54" s="105">
        <f t="shared" si="2"/>
        <v>593</v>
      </c>
      <c r="K54" s="106">
        <f t="shared" si="3"/>
        <v>98.833333333333329</v>
      </c>
      <c r="L54" s="72" t="str">
        <f>LOOKUP(K54,{0,33,50,65,80},{"রাসিব","মাকবুল","জায়্যিদ","জা. জিদ্দান","মুমতাজ"})</f>
        <v>মুমতাজ</v>
      </c>
      <c r="M54" s="105">
        <v>5</v>
      </c>
      <c r="N54" s="50"/>
      <c r="O54" s="53"/>
    </row>
    <row r="55" spans="1:15" ht="18" customHeight="1">
      <c r="A55" s="35">
        <v>18</v>
      </c>
      <c r="B55" s="29" t="s">
        <v>35</v>
      </c>
      <c r="C55" s="46"/>
      <c r="D55" s="105">
        <v>100</v>
      </c>
      <c r="E55" s="105">
        <v>90</v>
      </c>
      <c r="F55" s="105">
        <v>100</v>
      </c>
      <c r="G55" s="105">
        <v>100</v>
      </c>
      <c r="H55" s="105">
        <v>100</v>
      </c>
      <c r="I55" s="105">
        <v>97</v>
      </c>
      <c r="J55" s="105">
        <f t="shared" si="2"/>
        <v>587</v>
      </c>
      <c r="K55" s="106">
        <f t="shared" si="3"/>
        <v>97.833333333333329</v>
      </c>
      <c r="L55" s="72" t="str">
        <f>LOOKUP(K55,{0,33,50,65,80},{"রাসিব","মাকবুল","জায়্যিদ","জা. জিদ্দান","মুমতাজ"})</f>
        <v>মুমতাজ</v>
      </c>
      <c r="M55" s="105">
        <v>5</v>
      </c>
      <c r="N55" s="50"/>
      <c r="O55" s="53"/>
    </row>
    <row r="56" spans="1:15" ht="18" customHeight="1">
      <c r="A56" s="35">
        <v>19</v>
      </c>
      <c r="B56" s="102" t="s">
        <v>88</v>
      </c>
      <c r="C56" s="70"/>
      <c r="D56" s="105">
        <v>97</v>
      </c>
      <c r="E56" s="105">
        <v>90</v>
      </c>
      <c r="F56" s="105">
        <v>98</v>
      </c>
      <c r="G56" s="105">
        <v>100</v>
      </c>
      <c r="H56" s="105">
        <v>98</v>
      </c>
      <c r="I56" s="105">
        <v>100</v>
      </c>
      <c r="J56" s="105">
        <f t="shared" si="2"/>
        <v>583</v>
      </c>
      <c r="K56" s="106">
        <f t="shared" si="3"/>
        <v>97.166666666666671</v>
      </c>
      <c r="L56" s="72" t="str">
        <f>LOOKUP(K56,{0,33,50,65,80},{"রাসিব","মাকবুল","জায়্যিদ","জা. জিদ্দান","মুমতাজ"})</f>
        <v>মুমতাজ</v>
      </c>
      <c r="M56" s="105">
        <v>6</v>
      </c>
      <c r="N56" s="50"/>
      <c r="O56" s="53"/>
    </row>
    <row r="57" spans="1:15" ht="18" customHeight="1">
      <c r="A57" s="35">
        <v>20</v>
      </c>
      <c r="B57" s="104" t="s">
        <v>90</v>
      </c>
      <c r="C57" s="70"/>
      <c r="D57" s="105">
        <v>99</v>
      </c>
      <c r="E57" s="105">
        <v>87</v>
      </c>
      <c r="F57" s="105">
        <v>100</v>
      </c>
      <c r="G57" s="105">
        <v>100</v>
      </c>
      <c r="H57" s="105">
        <v>98</v>
      </c>
      <c r="I57" s="105">
        <v>98</v>
      </c>
      <c r="J57" s="105">
        <f t="shared" si="2"/>
        <v>582</v>
      </c>
      <c r="K57" s="106">
        <f t="shared" si="3"/>
        <v>97</v>
      </c>
      <c r="L57" s="72" t="str">
        <f>LOOKUP(K57,{0,33,50,65,80},{"রাসিব","মাকবুল","জায়্যিদ","জা. জিদ্দান","মুমতাজ"})</f>
        <v>মুমতাজ</v>
      </c>
      <c r="M57" s="105">
        <v>7</v>
      </c>
      <c r="N57" s="52"/>
      <c r="O57" s="53"/>
    </row>
    <row r="58" spans="1:15" ht="18" customHeight="1">
      <c r="A58" s="35">
        <v>21</v>
      </c>
      <c r="B58" s="20" t="s">
        <v>91</v>
      </c>
      <c r="C58" s="46"/>
      <c r="D58" s="105">
        <v>97</v>
      </c>
      <c r="E58" s="105">
        <v>100</v>
      </c>
      <c r="F58" s="105">
        <v>100</v>
      </c>
      <c r="G58" s="105">
        <v>100</v>
      </c>
      <c r="H58" s="105">
        <v>98</v>
      </c>
      <c r="I58" s="105">
        <v>83</v>
      </c>
      <c r="J58" s="105">
        <f t="shared" si="2"/>
        <v>578</v>
      </c>
      <c r="K58" s="106">
        <f t="shared" si="3"/>
        <v>96.333333333333329</v>
      </c>
      <c r="L58" s="72" t="str">
        <f>LOOKUP(K58,{0,33,50,65,80},{"রাসিব","মাকবুল","জায়্যিদ","জা. জিদ্দান","মুমতাজ"})</f>
        <v>মুমতাজ</v>
      </c>
      <c r="M58" s="105">
        <v>8</v>
      </c>
      <c r="N58" s="52"/>
      <c r="O58" s="53"/>
    </row>
    <row r="59" spans="1:15" ht="18" customHeight="1">
      <c r="A59" s="35">
        <v>22</v>
      </c>
      <c r="B59" s="54" t="s">
        <v>36</v>
      </c>
      <c r="C59" s="46"/>
      <c r="D59" s="105">
        <v>94</v>
      </c>
      <c r="E59" s="105">
        <v>95</v>
      </c>
      <c r="F59" s="105">
        <v>100</v>
      </c>
      <c r="G59" s="105">
        <v>99</v>
      </c>
      <c r="H59" s="105">
        <v>100</v>
      </c>
      <c r="I59" s="105">
        <v>82</v>
      </c>
      <c r="J59" s="105">
        <f t="shared" si="2"/>
        <v>570</v>
      </c>
      <c r="K59" s="106">
        <f t="shared" si="3"/>
        <v>95</v>
      </c>
      <c r="L59" s="72" t="str">
        <f>LOOKUP(K59,{0,33,50,65,80},{"রাসিব","মাকবুল","জায়্যিদ","জা. জিদ্দান","মুমতাজ"})</f>
        <v>মুমতাজ</v>
      </c>
      <c r="M59" s="105">
        <v>9</v>
      </c>
      <c r="N59" s="52"/>
      <c r="O59" s="53"/>
    </row>
    <row r="60" spans="1:15" ht="18" customHeight="1">
      <c r="A60" s="35">
        <v>23</v>
      </c>
      <c r="B60" s="104" t="s">
        <v>89</v>
      </c>
      <c r="C60" s="70"/>
      <c r="D60" s="105">
        <v>96</v>
      </c>
      <c r="E60" s="105">
        <v>90</v>
      </c>
      <c r="F60" s="105">
        <v>100</v>
      </c>
      <c r="G60" s="105">
        <v>100</v>
      </c>
      <c r="H60" s="105">
        <v>100</v>
      </c>
      <c r="I60" s="105">
        <v>83</v>
      </c>
      <c r="J60" s="105">
        <f t="shared" si="2"/>
        <v>569</v>
      </c>
      <c r="K60" s="106">
        <f t="shared" si="3"/>
        <v>94.833333333333329</v>
      </c>
      <c r="L60" s="72" t="str">
        <f>LOOKUP(K60,{0,33,50,65,80},{"রাসিব","মাকবুল","জায়্যিদ","জা. জিদ্দান","মুমতাজ"})</f>
        <v>মুমতাজ</v>
      </c>
      <c r="M60" s="105">
        <v>10</v>
      </c>
      <c r="N60" s="52"/>
      <c r="O60" s="53"/>
    </row>
    <row r="61" spans="1:15" ht="18" customHeight="1">
      <c r="A61" s="35">
        <v>24</v>
      </c>
      <c r="B61" s="55" t="s">
        <v>38</v>
      </c>
      <c r="C61" s="46"/>
      <c r="D61" s="105">
        <v>95</v>
      </c>
      <c r="E61" s="105">
        <v>100</v>
      </c>
      <c r="F61" s="105">
        <v>100</v>
      </c>
      <c r="G61" s="105">
        <v>100</v>
      </c>
      <c r="H61" s="105">
        <v>97</v>
      </c>
      <c r="I61" s="105">
        <v>75</v>
      </c>
      <c r="J61" s="105">
        <f t="shared" si="2"/>
        <v>567</v>
      </c>
      <c r="K61" s="106">
        <f t="shared" si="3"/>
        <v>94.5</v>
      </c>
      <c r="L61" s="72" t="str">
        <f>LOOKUP(K61,{0,33,50,65,80},{"রাসিব","মাকবুল","জায়্যিদ","জা. জিদ্দান","মুমতাজ"})</f>
        <v>মুমতাজ</v>
      </c>
      <c r="M61" s="105">
        <v>11</v>
      </c>
      <c r="N61" s="52"/>
      <c r="O61" s="53"/>
    </row>
    <row r="62" spans="1:15" ht="18" customHeight="1">
      <c r="A62" s="35">
        <v>25</v>
      </c>
      <c r="B62" s="20" t="s">
        <v>64</v>
      </c>
      <c r="C62" s="46"/>
      <c r="D62" s="105">
        <v>98</v>
      </c>
      <c r="E62" s="105">
        <v>68</v>
      </c>
      <c r="F62" s="105">
        <v>100</v>
      </c>
      <c r="G62" s="105">
        <v>100</v>
      </c>
      <c r="H62" s="105">
        <v>100</v>
      </c>
      <c r="I62" s="105">
        <v>100</v>
      </c>
      <c r="J62" s="105">
        <f t="shared" si="2"/>
        <v>566</v>
      </c>
      <c r="K62" s="106">
        <f t="shared" si="3"/>
        <v>94.333333333333329</v>
      </c>
      <c r="L62" s="72" t="str">
        <f>LOOKUP(K62,{0,33,50,65,80},{"রাসিব","মাকবুল","জায়্যিদ","জা. জিদ্দান","মুমতাজ"})</f>
        <v>মুমতাজ</v>
      </c>
      <c r="M62" s="105">
        <v>12</v>
      </c>
      <c r="N62" s="52"/>
      <c r="O62" s="53"/>
    </row>
    <row r="63" spans="1:15" ht="18" customHeight="1">
      <c r="A63" s="35">
        <v>26</v>
      </c>
      <c r="B63" s="55" t="s">
        <v>45</v>
      </c>
      <c r="C63" s="46"/>
      <c r="D63" s="105">
        <v>98</v>
      </c>
      <c r="E63" s="105">
        <v>86</v>
      </c>
      <c r="F63" s="105">
        <v>100</v>
      </c>
      <c r="G63" s="105">
        <v>98</v>
      </c>
      <c r="H63" s="105">
        <v>100</v>
      </c>
      <c r="I63" s="105">
        <v>83</v>
      </c>
      <c r="J63" s="105">
        <f t="shared" si="2"/>
        <v>565</v>
      </c>
      <c r="K63" s="106">
        <f t="shared" si="3"/>
        <v>94.166666666666671</v>
      </c>
      <c r="L63" s="72" t="str">
        <f>LOOKUP(K63,{0,33,50,65,80},{"রাসিব","মাকবুল","জায়্যিদ","জা. জিদ্দান","মুমতাজ"})</f>
        <v>মুমতাজ</v>
      </c>
      <c r="M63" s="105">
        <v>13</v>
      </c>
      <c r="N63" s="52"/>
      <c r="O63" s="53"/>
    </row>
    <row r="64" spans="1:15" ht="18" customHeight="1">
      <c r="A64" s="35">
        <v>27</v>
      </c>
      <c r="B64" s="103" t="s">
        <v>49</v>
      </c>
      <c r="C64" s="46"/>
      <c r="D64" s="105">
        <v>98</v>
      </c>
      <c r="E64" s="105">
        <v>80</v>
      </c>
      <c r="F64" s="105">
        <v>70</v>
      </c>
      <c r="G64" s="105">
        <v>100</v>
      </c>
      <c r="H64" s="105">
        <v>100</v>
      </c>
      <c r="I64" s="105">
        <v>99</v>
      </c>
      <c r="J64" s="105">
        <f t="shared" si="2"/>
        <v>547</v>
      </c>
      <c r="K64" s="106">
        <f t="shared" si="3"/>
        <v>91.166666666666671</v>
      </c>
      <c r="L64" s="72" t="str">
        <f>LOOKUP(K64,{0,33,50,65,80},{"রাসিব","মাকবুল","জায়্যিদ","জা. জিদ্দান","মুমতাজ"})</f>
        <v>মুমতাজ</v>
      </c>
      <c r="M64" s="105">
        <v>14</v>
      </c>
      <c r="N64" s="52"/>
      <c r="O64" s="53"/>
    </row>
    <row r="65" spans="1:18" ht="18" customHeight="1">
      <c r="A65" s="35">
        <v>28</v>
      </c>
      <c r="B65" s="20" t="s">
        <v>62</v>
      </c>
      <c r="C65" s="46"/>
      <c r="D65" s="105">
        <v>98</v>
      </c>
      <c r="E65" s="105">
        <v>40</v>
      </c>
      <c r="F65" s="105">
        <v>100</v>
      </c>
      <c r="G65" s="105">
        <v>100</v>
      </c>
      <c r="H65" s="105">
        <v>100</v>
      </c>
      <c r="I65" s="105">
        <v>93</v>
      </c>
      <c r="J65" s="105">
        <f t="shared" si="2"/>
        <v>531</v>
      </c>
      <c r="K65" s="106">
        <f t="shared" si="3"/>
        <v>88.5</v>
      </c>
      <c r="L65" s="72" t="str">
        <f>LOOKUP(K65,{0,33,50,65,80},{"রাসিব","মাকবুল","জায়্যিদ","জা. জিদ্দান","মুমতাজ"})</f>
        <v>মুমতাজ</v>
      </c>
      <c r="M65" s="105">
        <v>15</v>
      </c>
      <c r="N65" s="52"/>
      <c r="O65" s="53"/>
    </row>
    <row r="66" spans="1:18" ht="18" customHeight="1">
      <c r="A66" s="35">
        <v>29</v>
      </c>
      <c r="B66" s="104" t="s">
        <v>87</v>
      </c>
      <c r="C66" s="70"/>
      <c r="D66" s="105">
        <v>98</v>
      </c>
      <c r="E66" s="105">
        <v>30</v>
      </c>
      <c r="F66" s="105">
        <v>100</v>
      </c>
      <c r="G66" s="105">
        <v>100</v>
      </c>
      <c r="H66" s="105">
        <v>100</v>
      </c>
      <c r="I66" s="105">
        <v>92</v>
      </c>
      <c r="J66" s="105">
        <f t="shared" si="2"/>
        <v>520</v>
      </c>
      <c r="K66" s="106">
        <f t="shared" si="3"/>
        <v>86.666666666666671</v>
      </c>
      <c r="L66" s="72" t="str">
        <f>LOOKUP(K66,{0,33,50,65,80},{"রাসিব","মাকবুল","জায়্যিদ","জা. জিদ্দান","মুমতাজ"})</f>
        <v>মুমতাজ</v>
      </c>
      <c r="M66" s="105">
        <v>16</v>
      </c>
      <c r="N66" s="52"/>
      <c r="O66" s="53"/>
    </row>
    <row r="67" spans="1:18" ht="18" customHeight="1">
      <c r="A67" s="35">
        <v>30</v>
      </c>
      <c r="B67" s="100" t="s">
        <v>102</v>
      </c>
      <c r="C67" s="70"/>
      <c r="D67" s="105">
        <v>99</v>
      </c>
      <c r="E67" s="105">
        <v>30</v>
      </c>
      <c r="F67" s="105">
        <v>100</v>
      </c>
      <c r="G67" s="105">
        <v>100</v>
      </c>
      <c r="H67" s="105">
        <v>97</v>
      </c>
      <c r="I67" s="105">
        <v>92</v>
      </c>
      <c r="J67" s="105">
        <f t="shared" si="2"/>
        <v>518</v>
      </c>
      <c r="K67" s="106">
        <f t="shared" si="3"/>
        <v>86.333333333333329</v>
      </c>
      <c r="L67" s="72" t="str">
        <f>LOOKUP(K67,{0,33,50,65,80},{"রাসিব","মাকবুল","জায়্যিদ","জা. জিদ্দান","মুমতাজ"})</f>
        <v>মুমতাজ</v>
      </c>
      <c r="M67" s="105">
        <v>17</v>
      </c>
      <c r="N67" s="52"/>
      <c r="O67" s="53"/>
    </row>
    <row r="68" spans="1:18" ht="18" customHeight="1">
      <c r="A68" s="35">
        <v>31</v>
      </c>
      <c r="B68" s="104" t="s">
        <v>83</v>
      </c>
      <c r="C68" s="70"/>
      <c r="D68" s="105">
        <v>100</v>
      </c>
      <c r="E68" s="105">
        <v>40</v>
      </c>
      <c r="F68" s="105">
        <v>95</v>
      </c>
      <c r="G68" s="105">
        <v>100</v>
      </c>
      <c r="H68" s="105">
        <v>80</v>
      </c>
      <c r="I68" s="105">
        <v>98</v>
      </c>
      <c r="J68" s="105">
        <f t="shared" si="2"/>
        <v>513</v>
      </c>
      <c r="K68" s="106">
        <f t="shared" si="3"/>
        <v>85.5</v>
      </c>
      <c r="L68" s="72" t="str">
        <f>LOOKUP(K68,{0,33,50,65,80},{"রাসিব","মাকবুল","জায়্যিদ","জা. জিদ্দান","মুমতাজ"})</f>
        <v>মুমতাজ</v>
      </c>
      <c r="M68" s="105">
        <v>18</v>
      </c>
      <c r="N68" s="52"/>
      <c r="O68" s="53"/>
    </row>
    <row r="69" spans="1:18" ht="20.25" customHeight="1">
      <c r="A69" s="85"/>
      <c r="B69" s="101"/>
      <c r="C69" s="52"/>
      <c r="D69" s="85"/>
      <c r="E69" s="85"/>
      <c r="F69" s="85"/>
      <c r="G69" s="85"/>
      <c r="H69" s="85"/>
      <c r="I69" s="85"/>
      <c r="J69" s="90"/>
      <c r="K69" s="10"/>
      <c r="L69" s="63" t="s">
        <v>23</v>
      </c>
      <c r="N69" s="52"/>
      <c r="O69" s="53"/>
    </row>
    <row r="70" spans="1:18" ht="20.85" customHeight="1">
      <c r="A70" s="85"/>
      <c r="B70" s="81"/>
      <c r="C70" s="52"/>
      <c r="D70" s="85"/>
      <c r="E70" s="85"/>
      <c r="F70" s="85"/>
      <c r="G70" s="85"/>
      <c r="H70" s="85"/>
      <c r="I70" s="85"/>
      <c r="J70" s="90"/>
      <c r="K70" s="10"/>
      <c r="L70" s="64" t="s">
        <v>40</v>
      </c>
      <c r="N70" s="52"/>
      <c r="O70" s="53"/>
    </row>
    <row r="71" spans="1:18" ht="38.25" customHeight="1">
      <c r="A71" s="85"/>
      <c r="B71" s="81"/>
      <c r="C71" s="52"/>
      <c r="D71" s="85"/>
      <c r="E71" s="85"/>
      <c r="F71" s="85"/>
      <c r="G71" s="85"/>
      <c r="H71" s="85"/>
      <c r="I71" s="85"/>
      <c r="J71" s="90"/>
      <c r="K71" s="10"/>
      <c r="L71" s="64"/>
      <c r="N71" s="52"/>
      <c r="O71" s="53"/>
    </row>
    <row r="72" spans="1:18" ht="44.25" customHeight="1">
      <c r="A72" s="16" t="s">
        <v>22</v>
      </c>
      <c r="B72" s="34"/>
      <c r="C72" s="34"/>
      <c r="D72" s="34"/>
      <c r="E72" s="34"/>
      <c r="F72" s="34"/>
      <c r="G72" s="85"/>
      <c r="H72" s="34"/>
      <c r="I72" s="34"/>
      <c r="J72" s="34"/>
      <c r="K72" s="34"/>
      <c r="L72" s="34"/>
      <c r="M72" s="34"/>
      <c r="N72" s="34"/>
      <c r="O72" s="34"/>
      <c r="P72" s="1"/>
    </row>
    <row r="73" spans="1:18" ht="21.75">
      <c r="A73" s="69" t="s">
        <v>100</v>
      </c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6"/>
      <c r="O73" s="36"/>
      <c r="P73" s="2"/>
    </row>
    <row r="74" spans="1:18" ht="24.75">
      <c r="A74" s="108" t="s">
        <v>104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19"/>
    </row>
    <row r="75" spans="1:18" ht="95.25">
      <c r="A75" s="40" t="s">
        <v>0</v>
      </c>
      <c r="B75" s="121" t="s">
        <v>1</v>
      </c>
      <c r="C75" s="121"/>
      <c r="D75" s="5" t="s">
        <v>80</v>
      </c>
      <c r="E75" s="5" t="s">
        <v>46</v>
      </c>
      <c r="F75" s="5" t="s">
        <v>47</v>
      </c>
      <c r="G75" s="41" t="s">
        <v>4</v>
      </c>
      <c r="H75" s="42" t="s">
        <v>5</v>
      </c>
      <c r="I75" s="42" t="s">
        <v>6</v>
      </c>
      <c r="J75" s="43" t="s">
        <v>7</v>
      </c>
      <c r="K75" s="5" t="s">
        <v>2</v>
      </c>
      <c r="L75" s="5" t="s">
        <v>3</v>
      </c>
      <c r="M75" s="44" t="s">
        <v>8</v>
      </c>
      <c r="P75" s="18"/>
    </row>
    <row r="76" spans="1:18" ht="20.100000000000001" customHeight="1">
      <c r="A76" s="35">
        <v>1</v>
      </c>
      <c r="B76" s="11" t="s">
        <v>70</v>
      </c>
      <c r="C76" s="15"/>
      <c r="D76" s="97">
        <v>100</v>
      </c>
      <c r="E76" s="97">
        <v>100</v>
      </c>
      <c r="F76" s="97">
        <v>100</v>
      </c>
      <c r="G76" s="97">
        <v>100</v>
      </c>
      <c r="H76" s="97">
        <v>100</v>
      </c>
      <c r="I76" s="97">
        <v>100</v>
      </c>
      <c r="J76" s="125">
        <f t="shared" ref="J76:J91" si="4">I76+H76+G76+F76+E76+D76</f>
        <v>600</v>
      </c>
      <c r="K76" s="47">
        <f t="shared" ref="K76:K91" si="5">J76/6</f>
        <v>100</v>
      </c>
      <c r="L76" s="72" t="str">
        <f>LOOKUP(K76,{0,33,50,65,80},{"রাসিব","মাকবুল","জায়্যিদ","জা. জিদ্দান","মুমতাজ"})</f>
        <v>মুমতাজ</v>
      </c>
      <c r="M76" s="124">
        <v>1</v>
      </c>
      <c r="Q76" s="13"/>
      <c r="R76" s="13"/>
    </row>
    <row r="77" spans="1:18" ht="20.100000000000001" customHeight="1">
      <c r="A77" s="35">
        <v>2</v>
      </c>
      <c r="B77" s="55" t="s">
        <v>71</v>
      </c>
      <c r="C77" s="46"/>
      <c r="D77" s="97">
        <v>100</v>
      </c>
      <c r="E77" s="97">
        <v>100</v>
      </c>
      <c r="F77" s="97">
        <v>100</v>
      </c>
      <c r="G77" s="97">
        <v>100</v>
      </c>
      <c r="H77" s="97">
        <v>100</v>
      </c>
      <c r="I77" s="97">
        <v>100</v>
      </c>
      <c r="J77" s="125">
        <f t="shared" si="4"/>
        <v>600</v>
      </c>
      <c r="K77" s="47">
        <f t="shared" si="5"/>
        <v>100</v>
      </c>
      <c r="L77" s="72" t="str">
        <f>LOOKUP(K77,{0,33,50,65,80},{"রাসিব","মাকবুল","জায়্যিদ","জা. জিদ্দান","মুমতাজ"})</f>
        <v>মুমতাজ</v>
      </c>
      <c r="M77" s="124">
        <v>1</v>
      </c>
    </row>
    <row r="78" spans="1:18" ht="20.100000000000001" customHeight="1">
      <c r="A78" s="35">
        <v>3</v>
      </c>
      <c r="B78" s="55" t="s">
        <v>68</v>
      </c>
      <c r="C78" s="46"/>
      <c r="D78" s="97">
        <v>99</v>
      </c>
      <c r="E78" s="97">
        <v>100</v>
      </c>
      <c r="F78" s="97">
        <v>100</v>
      </c>
      <c r="G78" s="97">
        <v>97</v>
      </c>
      <c r="H78" s="97">
        <v>100</v>
      </c>
      <c r="I78" s="97">
        <v>100</v>
      </c>
      <c r="J78" s="125">
        <f t="shared" si="4"/>
        <v>596</v>
      </c>
      <c r="K78" s="47">
        <f t="shared" si="5"/>
        <v>99.333333333333329</v>
      </c>
      <c r="L78" s="72" t="str">
        <f>LOOKUP(K78,{0,33,50,65,80},{"রাসিব","মাকবুল","জায়্যিদ","জা. জিদ্দান","মুমতাজ"})</f>
        <v>মুমতাজ</v>
      </c>
      <c r="M78" s="124">
        <v>2</v>
      </c>
    </row>
    <row r="79" spans="1:18" ht="20.100000000000001" customHeight="1">
      <c r="A79" s="35">
        <v>4</v>
      </c>
      <c r="B79" s="11" t="s">
        <v>66</v>
      </c>
      <c r="C79" s="46"/>
      <c r="D79" s="97">
        <v>99</v>
      </c>
      <c r="E79" s="97">
        <v>100</v>
      </c>
      <c r="F79" s="97">
        <v>100</v>
      </c>
      <c r="G79" s="97">
        <v>95</v>
      </c>
      <c r="H79" s="97">
        <v>100</v>
      </c>
      <c r="I79" s="97">
        <v>100</v>
      </c>
      <c r="J79" s="125">
        <f t="shared" si="4"/>
        <v>594</v>
      </c>
      <c r="K79" s="47">
        <f t="shared" si="5"/>
        <v>99</v>
      </c>
      <c r="L79" s="72" t="str">
        <f>LOOKUP(K79,{0,33,50,65,80},{"রাসিব","মাকবুল","জায়্যিদ","জা. জিদ্দান","মুমতাজ"})</f>
        <v>মুমতাজ</v>
      </c>
      <c r="M79" s="124">
        <v>3</v>
      </c>
    </row>
    <row r="80" spans="1:18" ht="20.100000000000001" customHeight="1">
      <c r="A80" s="35">
        <v>5</v>
      </c>
      <c r="B80" s="11" t="s">
        <v>72</v>
      </c>
      <c r="C80" s="15"/>
      <c r="D80" s="97">
        <v>99</v>
      </c>
      <c r="E80" s="97">
        <v>100</v>
      </c>
      <c r="F80" s="97">
        <v>100</v>
      </c>
      <c r="G80" s="97">
        <v>95</v>
      </c>
      <c r="H80" s="97">
        <v>100</v>
      </c>
      <c r="I80" s="97">
        <v>99</v>
      </c>
      <c r="J80" s="125">
        <f t="shared" si="4"/>
        <v>593</v>
      </c>
      <c r="K80" s="47">
        <f t="shared" si="5"/>
        <v>98.833333333333329</v>
      </c>
      <c r="L80" s="72" t="str">
        <f>LOOKUP(K80,{0,33,50,65,80},{"রাসিব","মাকবুল","জায়্যিদ","জা. জিদ্দান","মুমতাজ"})</f>
        <v>মুমতাজ</v>
      </c>
      <c r="M80" s="124">
        <v>4</v>
      </c>
    </row>
    <row r="81" spans="1:13" ht="20.100000000000001" customHeight="1">
      <c r="A81" s="35">
        <v>6</v>
      </c>
      <c r="B81" s="11" t="s">
        <v>97</v>
      </c>
      <c r="C81" s="15"/>
      <c r="D81" s="97">
        <v>93</v>
      </c>
      <c r="E81" s="97">
        <v>100</v>
      </c>
      <c r="F81" s="97">
        <v>100</v>
      </c>
      <c r="G81" s="97">
        <v>100</v>
      </c>
      <c r="H81" s="97">
        <v>100</v>
      </c>
      <c r="I81" s="97">
        <v>100</v>
      </c>
      <c r="J81" s="125">
        <f t="shared" si="4"/>
        <v>593</v>
      </c>
      <c r="K81" s="47">
        <f t="shared" si="5"/>
        <v>98.833333333333329</v>
      </c>
      <c r="L81" s="72" t="str">
        <f>LOOKUP(K81,{0,33,50,65,80},{"রাসিব","মাকবুল","জায়্যিদ","জা. জিদ্দান","মুমতাজ"})</f>
        <v>মুমতাজ</v>
      </c>
      <c r="M81" s="124">
        <v>4</v>
      </c>
    </row>
    <row r="82" spans="1:13" ht="20.100000000000001" customHeight="1">
      <c r="A82" s="35">
        <v>7</v>
      </c>
      <c r="B82" s="55" t="s">
        <v>77</v>
      </c>
      <c r="C82" s="15"/>
      <c r="D82" s="97">
        <v>98</v>
      </c>
      <c r="E82" s="97">
        <v>100</v>
      </c>
      <c r="F82" s="97">
        <v>100</v>
      </c>
      <c r="G82" s="97">
        <v>98</v>
      </c>
      <c r="H82" s="97">
        <v>99</v>
      </c>
      <c r="I82" s="97">
        <v>98</v>
      </c>
      <c r="J82" s="125">
        <f t="shared" si="4"/>
        <v>593</v>
      </c>
      <c r="K82" s="47">
        <f t="shared" si="5"/>
        <v>98.833333333333329</v>
      </c>
      <c r="L82" s="72" t="str">
        <f>LOOKUP(K82,{0,33,50,65,80},{"রাসিব","মাকবুল","জায়্যিদ","জা. জিদ্দান","মুমতাজ"})</f>
        <v>মুমতাজ</v>
      </c>
      <c r="M82" s="124">
        <v>4</v>
      </c>
    </row>
    <row r="83" spans="1:13" ht="20.100000000000001" customHeight="1">
      <c r="A83" s="35">
        <v>8</v>
      </c>
      <c r="B83" s="11" t="s">
        <v>67</v>
      </c>
      <c r="C83" s="46"/>
      <c r="D83" s="97">
        <v>99</v>
      </c>
      <c r="E83" s="97">
        <v>100</v>
      </c>
      <c r="F83" s="97">
        <v>100</v>
      </c>
      <c r="G83" s="97">
        <v>93</v>
      </c>
      <c r="H83" s="97">
        <v>100</v>
      </c>
      <c r="I83" s="97">
        <v>100</v>
      </c>
      <c r="J83" s="125">
        <f t="shared" si="4"/>
        <v>592</v>
      </c>
      <c r="K83" s="47">
        <f t="shared" si="5"/>
        <v>98.666666666666671</v>
      </c>
      <c r="L83" s="72" t="str">
        <f>LOOKUP(K83,{0,33,50,65,80},{"রাসিব","মাকবুল","জায়্যিদ","জা. জিদ্দান","মুমতাজ"})</f>
        <v>মুমতাজ</v>
      </c>
      <c r="M83" s="124">
        <v>5</v>
      </c>
    </row>
    <row r="84" spans="1:13" ht="20.100000000000001" customHeight="1">
      <c r="A84" s="35">
        <v>9</v>
      </c>
      <c r="B84" s="55" t="s">
        <v>93</v>
      </c>
      <c r="C84" s="46"/>
      <c r="D84" s="97">
        <v>99</v>
      </c>
      <c r="E84" s="97">
        <v>100</v>
      </c>
      <c r="F84" s="97">
        <v>95</v>
      </c>
      <c r="G84" s="97">
        <v>97</v>
      </c>
      <c r="H84" s="97">
        <v>100</v>
      </c>
      <c r="I84" s="97">
        <v>100</v>
      </c>
      <c r="J84" s="125">
        <f t="shared" si="4"/>
        <v>591</v>
      </c>
      <c r="K84" s="47">
        <f t="shared" si="5"/>
        <v>98.5</v>
      </c>
      <c r="L84" s="72" t="str">
        <f>LOOKUP(K84,{0,33,50,65,80},{"রাসিব","মাকবুল","জায়্যিদ","জা. জিদ্দান","মুমতাজ"})</f>
        <v>মুমতাজ</v>
      </c>
      <c r="M84" s="124">
        <v>6</v>
      </c>
    </row>
    <row r="85" spans="1:13" ht="20.100000000000001" customHeight="1">
      <c r="A85" s="35">
        <v>10</v>
      </c>
      <c r="B85" s="11" t="s">
        <v>74</v>
      </c>
      <c r="C85" s="46"/>
      <c r="D85" s="97">
        <v>98</v>
      </c>
      <c r="E85" s="97">
        <v>100</v>
      </c>
      <c r="F85" s="97">
        <v>100</v>
      </c>
      <c r="G85" s="97">
        <v>90</v>
      </c>
      <c r="H85" s="97">
        <v>100</v>
      </c>
      <c r="I85" s="97">
        <v>100</v>
      </c>
      <c r="J85" s="125">
        <f t="shared" si="4"/>
        <v>588</v>
      </c>
      <c r="K85" s="47">
        <f t="shared" si="5"/>
        <v>98</v>
      </c>
      <c r="L85" s="72" t="str">
        <f>LOOKUP(K85,{0,33,50,65,80},{"রাসিব","মাকবুল","জায়্যিদ","জা. জিদ্দান","মুমতাজ"})</f>
        <v>মুমতাজ</v>
      </c>
      <c r="M85" s="124">
        <v>7</v>
      </c>
    </row>
    <row r="86" spans="1:13" ht="20.100000000000001" customHeight="1">
      <c r="A86" s="35">
        <v>11</v>
      </c>
      <c r="B86" s="55" t="s">
        <v>76</v>
      </c>
      <c r="C86" s="15"/>
      <c r="D86" s="97">
        <v>97</v>
      </c>
      <c r="E86" s="97">
        <v>100</v>
      </c>
      <c r="F86" s="97">
        <v>95</v>
      </c>
      <c r="G86" s="97">
        <v>95</v>
      </c>
      <c r="H86" s="97">
        <v>99</v>
      </c>
      <c r="I86" s="97">
        <v>99</v>
      </c>
      <c r="J86" s="125">
        <f t="shared" si="4"/>
        <v>585</v>
      </c>
      <c r="K86" s="47">
        <f t="shared" si="5"/>
        <v>97.5</v>
      </c>
      <c r="L86" s="72" t="str">
        <f>LOOKUP(K86,{0,33,50,65,80},{"রাসিব","মাকবুল","জায়্যিদ","জা. জিদ্দান","মুমতাজ"})</f>
        <v>মুমতাজ</v>
      </c>
      <c r="M86" s="124">
        <v>8</v>
      </c>
    </row>
    <row r="87" spans="1:13" ht="20.100000000000001" customHeight="1">
      <c r="A87" s="35">
        <v>12</v>
      </c>
      <c r="B87" s="55" t="s">
        <v>78</v>
      </c>
      <c r="C87" s="15"/>
      <c r="D87" s="97">
        <v>99</v>
      </c>
      <c r="E87" s="97">
        <v>100</v>
      </c>
      <c r="F87" s="97">
        <v>90</v>
      </c>
      <c r="G87" s="97">
        <v>96</v>
      </c>
      <c r="H87" s="97">
        <v>97</v>
      </c>
      <c r="I87" s="97">
        <v>100</v>
      </c>
      <c r="J87" s="125">
        <f t="shared" si="4"/>
        <v>582</v>
      </c>
      <c r="K87" s="47">
        <f t="shared" si="5"/>
        <v>97</v>
      </c>
      <c r="L87" s="72" t="str">
        <f>LOOKUP(K87,{0,33,50,65,80},{"রাসিব","মাকবুল","জায়্যিদ","জা. জিদ্দান","মুমতাজ"})</f>
        <v>মুমতাজ</v>
      </c>
      <c r="M87" s="124">
        <v>9</v>
      </c>
    </row>
    <row r="88" spans="1:13" ht="20.100000000000001" customHeight="1">
      <c r="A88" s="35">
        <v>13</v>
      </c>
      <c r="B88" s="55" t="s">
        <v>69</v>
      </c>
      <c r="C88" s="46"/>
      <c r="D88" s="97">
        <v>96</v>
      </c>
      <c r="E88" s="97">
        <v>100</v>
      </c>
      <c r="F88" s="97">
        <v>85</v>
      </c>
      <c r="G88" s="97">
        <v>100</v>
      </c>
      <c r="H88" s="97">
        <v>100</v>
      </c>
      <c r="I88" s="97">
        <v>100</v>
      </c>
      <c r="J88" s="125">
        <f t="shared" si="4"/>
        <v>581</v>
      </c>
      <c r="K88" s="47">
        <f t="shared" si="5"/>
        <v>96.833333333333329</v>
      </c>
      <c r="L88" s="72" t="str">
        <f>LOOKUP(K88,{0,33,50,65,80},{"রাসিব","মাকবুল","জায়্যিদ","জা. জিদ্দান","মুমতাজ"})</f>
        <v>মুমতাজ</v>
      </c>
      <c r="M88" s="124">
        <v>10</v>
      </c>
    </row>
    <row r="89" spans="1:13" ht="20.100000000000001" customHeight="1">
      <c r="A89" s="35">
        <v>14</v>
      </c>
      <c r="B89" s="11" t="s">
        <v>103</v>
      </c>
      <c r="C89" s="15"/>
      <c r="D89" s="97">
        <v>96</v>
      </c>
      <c r="E89" s="97">
        <v>95</v>
      </c>
      <c r="F89" s="97">
        <v>100</v>
      </c>
      <c r="G89" s="97">
        <v>97</v>
      </c>
      <c r="H89" s="97">
        <v>89</v>
      </c>
      <c r="I89" s="97">
        <v>100</v>
      </c>
      <c r="J89" s="125">
        <f t="shared" si="4"/>
        <v>577</v>
      </c>
      <c r="K89" s="47">
        <f t="shared" si="5"/>
        <v>96.166666666666671</v>
      </c>
      <c r="L89" s="72" t="str">
        <f>LOOKUP(K89,{0,33,50,65,80},{"রাসিব","মাকবুল","জায়্যিদ","জা. জিদ্দান","মুমতাজ"})</f>
        <v>মুমতাজ</v>
      </c>
      <c r="M89" s="124">
        <v>11</v>
      </c>
    </row>
    <row r="90" spans="1:13" ht="20.100000000000001" customHeight="1">
      <c r="A90" s="35">
        <v>15</v>
      </c>
      <c r="B90" s="55" t="s">
        <v>75</v>
      </c>
      <c r="C90" s="15"/>
      <c r="D90" s="97">
        <v>99</v>
      </c>
      <c r="E90" s="97">
        <v>100</v>
      </c>
      <c r="F90" s="97">
        <v>85</v>
      </c>
      <c r="G90" s="97">
        <v>93</v>
      </c>
      <c r="H90" s="97">
        <v>100</v>
      </c>
      <c r="I90" s="97">
        <v>99</v>
      </c>
      <c r="J90" s="125">
        <f t="shared" si="4"/>
        <v>576</v>
      </c>
      <c r="K90" s="47">
        <f t="shared" si="5"/>
        <v>96</v>
      </c>
      <c r="L90" s="72" t="str">
        <f>LOOKUP(K90,{0,33,50,65,80},{"রাসিব","মাকবুল","জায়্যিদ","জা. জিদ্দান","মুমতাজ"})</f>
        <v>মুমতাজ</v>
      </c>
      <c r="M90" s="124">
        <v>12</v>
      </c>
    </row>
    <row r="91" spans="1:13" ht="20.100000000000001" customHeight="1">
      <c r="A91" s="35">
        <v>16</v>
      </c>
      <c r="B91" s="11" t="s">
        <v>73</v>
      </c>
      <c r="C91" s="46"/>
      <c r="D91" s="97">
        <v>99</v>
      </c>
      <c r="E91" s="97">
        <v>85</v>
      </c>
      <c r="F91" s="97">
        <v>80</v>
      </c>
      <c r="G91" s="97">
        <v>93</v>
      </c>
      <c r="H91" s="97">
        <v>90</v>
      </c>
      <c r="I91" s="97">
        <v>92</v>
      </c>
      <c r="J91" s="125">
        <f t="shared" si="4"/>
        <v>539</v>
      </c>
      <c r="K91" s="47">
        <f t="shared" si="5"/>
        <v>89.833333333333329</v>
      </c>
      <c r="L91" s="72" t="str">
        <f>LOOKUP(K91,{0,33,50,65,80},{"রাসিব","মাকবুল","জায়্যিদ","জা. জিদ্দান","মুমতাজ"})</f>
        <v>মুমতাজ</v>
      </c>
      <c r="M91" s="124">
        <v>13</v>
      </c>
    </row>
    <row r="92" spans="1:13" ht="19.5">
      <c r="K92" s="48" t="s">
        <v>23</v>
      </c>
    </row>
    <row r="93" spans="1:13" ht="15.75">
      <c r="K93" s="49" t="s">
        <v>24</v>
      </c>
    </row>
    <row r="95" spans="1:13" ht="2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</row>
    <row r="96" spans="1:13" ht="2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</row>
    <row r="97" spans="1:13" ht="2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</row>
    <row r="98" spans="1:13" ht="2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</row>
    <row r="99" spans="1:13" ht="11.25" customHeight="1">
      <c r="A99" s="59"/>
      <c r="B99" s="81"/>
      <c r="C99" s="58"/>
      <c r="D99" s="62"/>
      <c r="E99" s="62"/>
      <c r="F99" s="62"/>
      <c r="G99" s="25"/>
      <c r="H99" s="62"/>
      <c r="I99" s="62"/>
      <c r="J99" s="62"/>
      <c r="K99" s="78"/>
      <c r="L99" s="27"/>
      <c r="M99" s="79"/>
    </row>
    <row r="100" spans="1:13" ht="21.75">
      <c r="A100" s="59"/>
      <c r="B100" s="26"/>
      <c r="C100" s="58"/>
      <c r="D100" s="62"/>
      <c r="E100" s="62"/>
      <c r="F100" s="62"/>
      <c r="G100" s="25"/>
      <c r="H100" s="62"/>
      <c r="I100" s="62"/>
      <c r="J100" s="62"/>
      <c r="K100" s="78"/>
      <c r="L100" s="27"/>
      <c r="M100" s="79"/>
    </row>
  </sheetData>
  <sortState ref="B5:L29">
    <sortCondition descending="1" ref="K5:K29"/>
  </sortState>
  <mergeCells count="7">
    <mergeCell ref="A98:M98"/>
    <mergeCell ref="B37:C37"/>
    <mergeCell ref="B4:C4"/>
    <mergeCell ref="B75:C75"/>
    <mergeCell ref="A95:M95"/>
    <mergeCell ref="A96:M96"/>
    <mergeCell ref="A97:M97"/>
  </mergeCells>
  <pageMargins left="0.25" right="0" top="0.5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2026-04-26T05:57:13Z</dcterms:modified>
</cp:coreProperties>
</file>